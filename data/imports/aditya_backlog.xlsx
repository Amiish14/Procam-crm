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202300"/>
  <mc:AlternateContent xmlns:mc="http://schemas.openxmlformats.org/markup-compatibility/2006">
    <mc:Choice Requires="x15">
      <x15ac:absPath xmlns:x15ac="http://schemas.microsoft.com/office/spreadsheetml/2010/11/ac" url="/Users/nileshsinha/Desktop/"/>
    </mc:Choice>
  </mc:AlternateContent>
  <xr:revisionPtr revIDLastSave="0" documentId="8_{0470B3D8-1B2B-4796-9C77-35C1EBC6451C}" xr6:coauthVersionLast="47" xr6:coauthVersionMax="47" xr10:uidLastSave="{00000000-0000-0000-0000-000000000000}"/>
  <bookViews>
    <workbookView xWindow="0" yWindow="660" windowWidth="34560" windowHeight="21680" firstSheet="4" activeTab="4" xr2:uid="{9492EFED-4BA0-4EEC-B683-0EB4A9A1EA17}"/>
  </bookViews>
  <sheets>
    <sheet name="New Projects" sheetId="2" r:id="rId1"/>
    <sheet name="11-05-26" sheetId="7" r:id="rId2"/>
    <sheet name="EXIM Data" sheetId="1" r:id="rId3"/>
    <sheet name="Sheet2" sheetId="6" r:id="rId4"/>
    <sheet name="summary" sheetId="3" r:id="rId5"/>
    <sheet name="REJECTION LIST" sheetId="5" r:id="rId6"/>
    <sheet name="Sheet1" sheetId="4" r:id="rId7"/>
  </sheets>
  <calcPr calcId="191028"/>
  <pivotCaches>
    <pivotCache cacheId="5"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7" i="3" l="1"/>
  <c r="D8" i="3"/>
  <c r="E9" i="3"/>
</calcChain>
</file>

<file path=xl/sharedStrings.xml><?xml version="1.0" encoding="utf-8"?>
<sst xmlns="http://schemas.openxmlformats.org/spreadsheetml/2006/main" count="2862" uniqueCount="1030">
  <si>
    <t>Sl No.</t>
  </si>
  <si>
    <t>Company</t>
  </si>
  <si>
    <t>Project</t>
  </si>
  <si>
    <t>Project Type</t>
  </si>
  <si>
    <t>Ownership</t>
  </si>
  <si>
    <t>Industry</t>
  </si>
  <si>
    <t>Project Cost(Rs. Million)</t>
  </si>
  <si>
    <t>Products &amp; Capacity</t>
  </si>
  <si>
    <t>Completion Schedule</t>
  </si>
  <si>
    <t>Project Stage</t>
  </si>
  <si>
    <t>Location</t>
  </si>
  <si>
    <t>District</t>
  </si>
  <si>
    <t>Project State</t>
  </si>
  <si>
    <t>Project History</t>
  </si>
  <si>
    <t>Address</t>
  </si>
  <si>
    <t>City</t>
  </si>
  <si>
    <t>Pincode</t>
  </si>
  <si>
    <t>Addr. State</t>
  </si>
  <si>
    <t>Telephone</t>
  </si>
  <si>
    <t>Email</t>
  </si>
  <si>
    <t>PIC</t>
  </si>
  <si>
    <t>Person Name 1</t>
  </si>
  <si>
    <t>Person Name 2</t>
  </si>
  <si>
    <t>Procam PIC</t>
  </si>
  <si>
    <t xml:space="preserve">Phone call </t>
  </si>
  <si>
    <t>Intro Mail Sent Date</t>
  </si>
  <si>
    <t>Meeting Date</t>
  </si>
  <si>
    <t>RFQ Recieved Date</t>
  </si>
  <si>
    <t>Remark</t>
  </si>
  <si>
    <t>Follow-up date</t>
  </si>
  <si>
    <t>Lead stage</t>
  </si>
  <si>
    <t>Aarti Industries Ltd</t>
  </si>
  <si>
    <t>Aarti Industries' Synthetic Organic Chemicals Mfg. Expansion Project</t>
  </si>
  <si>
    <t>Expansion</t>
  </si>
  <si>
    <t>Private Sector</t>
  </si>
  <si>
    <t>Chemicals</t>
  </si>
  <si>
    <t>Synthetic Organic Chemicals (4,85,660 TPA)</t>
  </si>
  <si>
    <t>Under Implementation</t>
  </si>
  <si>
    <t>Village &amp; Taluka Bhachau</t>
  </si>
  <si>
    <t>Kutch</t>
  </si>
  <si>
    <t>Gujarat</t>
  </si>
  <si>
    <t>Aarti Industries is planning to undertake a Synthetic Organic Chemicals Manufacturing Expansion Project at its existing facility located in Village and Taluka Bhachau, District Kutch, Gujarat, to strengthen its production capabilities and meet growing market demand. The proposed expansion involves increasing the manufacturing capacity of synthetic organic chemicals by 80,940 tonnes per annum, which represents 20% of the current installed capacity of 4,04,720 TPA. Following the expansion, the total production capacity of the unit will rise to 4,85,660 TPA. The project is estimated to require an investment of Rs. 1,824.1 million and will leverage existing infrastructure along with new process equipment and utilities. Construction activities for the expansion commenced in June 2024 and are scheduled to be completed by August 2026. As of December 2025, the project proposal has been submitted to the State Level Environment Impact Assessment Authority (SEIAA) for obtaining the necessary environmental clearance. The expansion is expected to enhance operational efficiency, improve product availability, and reinforce Aarti Industriesâ€™ position in the specialty and industrial chemicals segment while complying with environmental and regulatory norms.</t>
  </si>
  <si>
    <t>Survey No.1430/1, N.H. No.8-A, Bhachau</t>
  </si>
  <si>
    <t>063538 65478 / 099099 94207 /022 - 69436100 / 6200</t>
  </si>
  <si>
    <t>env.anushakti@aarti-industries.com</t>
  </si>
  <si>
    <t>Mr.Madhusoodhanan K - Assistant Vice President - Divisional Head</t>
  </si>
  <si>
    <t>Mr.K. Madhu - Director, 063543 90650, madhu@aartigroup.com</t>
  </si>
  <si>
    <t>Bodhee Dahiwale 8879099104</t>
  </si>
  <si>
    <t>Aditya Prasad/BARSHA SAHA</t>
  </si>
  <si>
    <t>DONE</t>
  </si>
  <si>
    <t xml:space="preserve">Mail sent didnt get response
not responding </t>
  </si>
  <si>
    <t>23/4/2026</t>
  </si>
  <si>
    <t>Adani Group</t>
  </si>
  <si>
    <t>Adani Group's New Cement Grinding Unit</t>
  </si>
  <si>
    <t>New</t>
  </si>
  <si>
    <t>Building Materials</t>
  </si>
  <si>
    <t>Cement Grinding Unit</t>
  </si>
  <si>
    <t>Pre Project Stage</t>
  </si>
  <si>
    <t>Guna</t>
  </si>
  <si>
    <t>Madhya Pradesh</t>
  </si>
  <si>
    <t>Adani Group is planning to establish a new cement grinding unit in Guna, Madhya Pradesh, as part of its strategy to strengthen cement manufacturing capacity in central India. The proposed project involves setting up a modern cement grinding facility with an installed capacity of 6 million tonnes per annum (MTPA). The unit will be equipped with advanced and energy-efficient technologies to ensure high operational efficiency, reduced environmental impact, and sustainable production practices. Land for the project has already been allotted to Adani Cement, indicating firm progress toward implementation. The total estimated investment for the project is around Rs. 15,000 million, reflecting the large scale of the proposed facility. As of January 2026, the company has received consent to establish the project from the state pollution control authorities. Once operational, the cement grinding unit is expected to support regional infrastructure development, improve cement supply in nearby markets, generate employment opportunities, and contribute significantly to the industrial and economic growth of Madhya Pradesh.</t>
  </si>
  <si>
    <t>Adani Corporate House, Shantigram, Near Vaishnodevi Circle, S G Highway</t>
  </si>
  <si>
    <t>Ahmedabad</t>
  </si>
  <si>
    <t>079 - 26565555</t>
  </si>
  <si>
    <t>Mr.Gautam Adani - Chairman, Linkedin Id: https://www.linkedin.com/in/adanigautam/</t>
  </si>
  <si>
    <t>Mr.Raghuveer Singh - Purchase Manager, Linkedin Id: https://www.linkedin.com/in/raghuveer-singh-36ab0531/</t>
  </si>
  <si>
    <t>PraveenGarg : 9010674442</t>
  </si>
  <si>
    <t>Mail sent didnt get response
didn't pick up the call</t>
  </si>
  <si>
    <t>23/4/2026
24/4/26</t>
  </si>
  <si>
    <t>Aerolloy Technologies Ltd</t>
  </si>
  <si>
    <t>Aerolloy Technologies' Titanium Ingots/ Billets, Super Alloys Mfg. Unit Expansion Project</t>
  </si>
  <si>
    <t>Metallurgical Industries</t>
  </si>
  <si>
    <t>Titanium Ingots/ Billets, Super Alloys (1500 MTPA to 6000 MTPA)</t>
  </si>
  <si>
    <t>F1 Defence Industrial Corridor Bhatgaon, Sarojini Nagar</t>
  </si>
  <si>
    <t>Lucknow</t>
  </si>
  <si>
    <t>Uttar Pradesh</t>
  </si>
  <si>
    <t>Aerolloy Technologies is planning to establish a new titanium castings and superalloy castings manufacturing facility in the F1 Defence Industrial Corridor, Bhatgaon, Sarojini Nagar, Lucknow, Uttar Pradesh. The project aims to set up a state-of-the-art plant for producing titanium ingots, which will serve as the primary raw material, and subsequently processing them into high-quality titanium castings and superalloy castings as finished products for defense and industrial applications. The initial estimated investment for the project is Rs. 7,000 million, with pre-project activities underway as of June 2025. As of January 2026, the project plans an expansion, including the construction of an industrial shed to increase production from 1,500 MTPA to 6,000 MTPA of titanium ingots/billets and superalloys, along with 6,000 MTPA forging and 2,500 MTPA casting capacity. The total investment for the expansion is Rs. 10,000 million, with construction scheduled from June 2026 to October 2027. The project has been submitted to the State Level Environment Impact Assessment Authority for environmental clearance.</t>
  </si>
  <si>
    <t>B - 51 Nirala Nagar</t>
  </si>
  <si>
    <t>0522 - 7111017</t>
  </si>
  <si>
    <t>amit.upadhyay@ptcil.com / info@aerolloy.com</t>
  </si>
  <si>
    <t>Mr.Alok Agarwal - Director, 093358 09122, alok@ptcil.com</t>
  </si>
  <si>
    <t xml:space="preserve">
sandeep chaturvedi : 8953000304</t>
  </si>
  <si>
    <t>seen the mail and will revert back</t>
  </si>
  <si>
    <t>24/4/2026</t>
  </si>
  <si>
    <t>Airports Authority of India</t>
  </si>
  <si>
    <t>AAI's New Greenfield Airport Construction Project</t>
  </si>
  <si>
    <t>Central PSU</t>
  </si>
  <si>
    <t>Infrastructure</t>
  </si>
  <si>
    <t>Airport</t>
  </si>
  <si>
    <t>Bundi</t>
  </si>
  <si>
    <t>Kota</t>
  </si>
  <si>
    <t>Rajasthan</t>
  </si>
  <si>
    <t>The Airports Authority of India (AAI) is planning an extensive greenfield airport project in Kota, Rajasthan, covering 440.086 hectares. Designed to be completed within two years of starting construction, the project is currently in the Detailed Project Report (DPR) stage. AAI formalized its commitment in July 2024 by signing an MoU with the Urban Development Department. On August 2025, plans for the Bundi site include a 3,200m x 45m Runway 11/29 with 7.5m shoulders, CAT-I Approach Lighting System compatible with CAT-III, apron for seven A-321 bays with GSE, two 23m-wide link taxiways with shoulders, a 20,000 sqm terminal (1,000 PHP, 2 MPPA), CUTE/CUPPS, CUSS &amp; BRS systems, a utility block, support infrastructure, internal roads, car park, six rotundas for passenger boarding bridges, ATC cum technical block (Category-II), IMD (Category-III), Category-VII fire station, and landscaped recreational areas. The project, costing Rs. 15,070 million, will be developed via the EPC route, As of December 2025, project involves The company start the construction Activity on October 2025 and end on October 2027. As of December 2025, the project has been submitted to State Level Environment Impact Assessment Authority for environment clearance</t>
  </si>
  <si>
    <t>Airport Director, Civil Aerodrome</t>
  </si>
  <si>
    <t>011 - 20818234</t>
  </si>
  <si>
    <t>edengg_ms@aai.aero</t>
  </si>
  <si>
    <t>Mr.J.T. Radha Krishna - Executive Director, 074425 00320</t>
  </si>
  <si>
    <t>Ms.Narendra Kumar Meena - Director</t>
  </si>
  <si>
    <t xml:space="preserve">Naveen Siwach
Assistant Manager, HR : nsiwach@aai.aero/siwachnaveen42@gmail.com/+91 79884 25650/+91 89504 70473 </t>
  </si>
  <si>
    <t>DIDNT RESPONSE</t>
  </si>
  <si>
    <t>Alpex Solar Ltd</t>
  </si>
  <si>
    <t>Alpex Solar' New Solar Module Factory</t>
  </si>
  <si>
    <t>Manufacturing</t>
  </si>
  <si>
    <t>Solar Module Factory (1.2 GW)</t>
  </si>
  <si>
    <t>Plot no- A-2/2, Industrial area, Kosi Kotwan Ext-2</t>
  </si>
  <si>
    <t>Mathura</t>
  </si>
  <si>
    <t>Alpex Solar is planning to establish a new solar module manufacturing facility at Plot No. A-2/2, Industrial Area, Kosi Kotwan Ext-2, Mathura, Uttar Pradesh, aimed at strengthening Indiaâ€™s solar manufacturing capabilities and supporting the countryâ€™s renewable energy goals. The proposed project involves setting up a manufacturing unit with an annual production capacity of 1.6 GW for solar cells and 1.2 GW for solar modules, on a total site area of 6.393 acres. The total investment for the project is estimated at Rs. 8,240 million. Construction activities are scheduled to commence in February 2025 and are expected to be completed by January 2027, with production planned to start in the 2026-2027 fiscal year. As of December 2025, the project has been officially announced, and the proposal has been submitted to the State Level Environment Impact Assessment Authority (SEIAA) for obtaining the required environmental clearance. Once operational, the facility is expected to significantly enhance domestic solar module production, reduce dependence on imports, and create employment opportunities in the Mathura region while contributing to Indiaâ€™s clean energy transition.</t>
  </si>
  <si>
    <t>A-2/2, Palwal Road, Kosi Kotwan Extension 2 Industrial Area</t>
  </si>
  <si>
    <t>011 - 42576121</t>
  </si>
  <si>
    <t>Mr.Lakhan Singh - AVP Manufacturing, lakhan.singh@alpex.in</t>
  </si>
  <si>
    <t>Mr.Vipin Kumar Sehgal - Director</t>
  </si>
  <si>
    <t>Priyanshi N.
Supply Chain Executive : priyanshinayal01@gmail.com / (701) 777-5334</t>
  </si>
  <si>
    <t>didn't get the right person</t>
  </si>
  <si>
    <t>23/4/26</t>
  </si>
  <si>
    <t>Altis industries Pvt Ltd</t>
  </si>
  <si>
    <t>Altis Industries' New Pre-Engineered Buildings (PEB) &amp; Structural Systems Unit</t>
  </si>
  <si>
    <t>Pre-Engineered Buildings (PEB) &amp; Structural Systems Unit</t>
  </si>
  <si>
    <t>Pithampur Sector 6 Extension</t>
  </si>
  <si>
    <t>Dhar</t>
  </si>
  <si>
    <t>Altis Industries is planning to establish a new Pre-Engineered Buildings (PEB) and Structural Systems manufacturing unit at Pithampur Sector 6 Extension in Dhar district, Madhya Pradesh, strengthening its presence in the industrial infrastructure segment. The proposed facility, to be developed under the name Altis Pre-Engineered Buildings &amp; Structural Systems Unit, will focus on the production of PEB solutions and advanced structural systems catering to industrial, commercial, and infrastructure projects. The total investment for the project is estimated at around Rs. 2,600 million, indicating a large-scale manufacturing setup with modern technology and capacity expansion. As of January 2026, the project has reached an important milestone with the issuance of the Land Allotment Letter of Intent (LoI). The Madhya Pradesh Industrial Development Corporation (MPIDC) has allotted approximately 30 acres of undeveloped land in the Pithampur Sector 6 expansion zone. Once operational, the unit is expected to support regional industrial growth, generate employment, and enhance Madhya Pradeshâ€™s manufacturing ecosystem.</t>
  </si>
  <si>
    <t>Plot No. BR-04, Industrial Area, Sector-5, (Denotified Area), Pithampur</t>
  </si>
  <si>
    <t>083491 39393 / 0731 - 4780800</t>
  </si>
  <si>
    <t>Mr.Vishal Khasgiwala - Director, Linkedin Id: https://www.linkedin.com/in/vishal-khasgiwala-29535b43/</t>
  </si>
  <si>
    <t>Mr.Anil Khasgiwala - Director</t>
  </si>
  <si>
    <t>Arjun Singh
Project Engineer : 8607617720</t>
  </si>
  <si>
    <t>AdityaAditya Prasad/BARSHA SAHA Prasad</t>
  </si>
  <si>
    <t>sent the company profile</t>
  </si>
  <si>
    <t>24/04/2026</t>
  </si>
  <si>
    <t>Ankur Biochem Pvt Ltd</t>
  </si>
  <si>
    <t>Ankur Biochem's New Grain-Based Ethanol Distillery</t>
  </si>
  <si>
    <t>Distillery</t>
  </si>
  <si>
    <t>Grain-Based Ethanol Distillery (750 KLPD)</t>
  </si>
  <si>
    <t>Urva Village, Chakai Block</t>
  </si>
  <si>
    <t>Jamui</t>
  </si>
  <si>
    <t>Bihar</t>
  </si>
  <si>
    <t>Ankur Biochem is planning to establish a new Grain-Based Ethanol Distillery in Urva Village, Chakai Block, Jamui District, Bihar. The project involves setting up a state-of-the-art distillery with a production capacity of 750 KLPD (kilolitres per day) of ethanol, along with a 20 MW co-generation power plant to meet the facilityâ€™s energy requirements sustainably. The total estimated cost of the project is Rs. 9,047.8 million, reflecting the companyâ€™s commitment to contributing to Indiaâ€™s renewable energy and biofuel initiatives. As of December 2025, the project is under active construction and implementation, with infrastructure development, machinery installation, and civil works in progress. Recruitment and commissioning activities are expected to begin around Marchâ€“April 2026, aligning with the planned operational schedule. Once operational, the distillery will support local agriculture by creating a market for grains, generate employment opportunities in the region, and produce renewable energy, reflecting Ankur Biochemâ€™s focus on sustainable industrial growth.</t>
  </si>
  <si>
    <t>No.33 Masjid Bari Lane Asansol</t>
  </si>
  <si>
    <t>Bardhaman</t>
  </si>
  <si>
    <t>West Bengal</t>
  </si>
  <si>
    <t>0341 - 6553761</t>
  </si>
  <si>
    <t>ankurbiochem@gmail.com</t>
  </si>
  <si>
    <t>Mr. Mahendra Sharma - Managing Director, 094340 02234</t>
  </si>
  <si>
    <t>Mr.Manoj Kumar Chourasia - Director</t>
  </si>
  <si>
    <t>Anubrata Chatterjee
Quality Control (Process) : shilpichatterjee100@gmail.com</t>
  </si>
  <si>
    <t>Aditya Prasad</t>
  </si>
  <si>
    <t>meeting done</t>
  </si>
  <si>
    <t>Balaji Wafers Pvt Ltd</t>
  </si>
  <si>
    <t>Balaji Wafers' New Ready To Eat Snack Products Mfg. Project</t>
  </si>
  <si>
    <t>Food Processing</t>
  </si>
  <si>
    <t>Ready To Eat Snack Products</t>
  </si>
  <si>
    <t>Kodithimmanahalli, Nandihalli, Sangenehalli</t>
  </si>
  <si>
    <t>Tumakuru</t>
  </si>
  <si>
    <t>Karnataka</t>
  </si>
  <si>
    <t>Balaji Wafers is planning to establish a new Ready-to-Eat (RTE) Snack Products Manufacturing Project in Kodithimmanahalli, Nandihalli, and Sangenehalli, Tumakuru District, Karnataka. The project aims to cater to the rising demand for packaged snack foods, including Namkeen and Farsaan with a production capacity of 168,192 tonnes per annum (TPA) and Wafers and Chevda with a capacity of 43,800 TPA. The total estimated investment for the project is Rs. 5,500 million, which will cover the construction of production facilities, installation of modern processing machinery, and implementation of food safety and environmental management systems. Construction activities are scheduled to commence in April 2026 and are expected to be completed by May 2027, ensuring timely operational readiness. As of December 2025, the project proposal has been submitted to the State Level Environment Impact Assessment Authority (SEIAA) for environmental clearance, demonstrating Balaji Wafersâ€™ commitment to sustainable manufacturing practices and regulatory compliance in Karnataka.</t>
  </si>
  <si>
    <t>Survey No.19, Vajdi (Vad), Kalawad Road, Lodhika</t>
  </si>
  <si>
    <t>Rajkot</t>
  </si>
  <si>
    <t>098258 00561 / 070690 14141 / 0281 - 2783755 / 56</t>
  </si>
  <si>
    <t>contact@balajiwafers.com</t>
  </si>
  <si>
    <t>Mr.Ankur P. Makwana - Company Secretary</t>
  </si>
  <si>
    <t>Mr.Rammohan S - Plant Head, 093530 19681, rammohans@balajiwafers.com</t>
  </si>
  <si>
    <t>Nishant BALECHA
Associate Vice President : nishantbalecha@balajiwafers.com / nishant.balecha@bikaji.com /+91 89630 00829/ +91 151 225 0350</t>
  </si>
  <si>
    <t>Bondada Engineering Ltd</t>
  </si>
  <si>
    <t>Bondada Engineering's New Solar PV Project</t>
  </si>
  <si>
    <t>Power Generation</t>
  </si>
  <si>
    <t>Solar PV Power (300 MW)</t>
  </si>
  <si>
    <t>Lalitpur</t>
  </si>
  <si>
    <t>Bondada Engineering is planning to take up a new large-scale Solar Photovoltaic (PV) power project in Lalitpur district of Uttar Pradesh, further strengthening its renewable energy portfolio. The proposed project involves the development of a 300 MW solar PV power plant, designed to generate clean and sustainable electricity in line with Indiaâ€™s renewable energy targets. The total investment for the project is estimated at Rs. 3,913.8 million. As of December 2025, Bondada Engineering has received the Letter of Award (LoA), marking a key milestone and confirming the projectâ€™s advancement to the execution stage. The project is currently in the pre-construction and mobilization phase, with preparatory activities such as site assessment, engineering planning, and procurement initiation underway. The execution timeline for the project is set at 15 months from the start of construction activities. Once commissioned, the solar PV plant is expected to contribute significantly to the regional power supply, reduce carbon emissions, and support Uttar Pradeshâ€™s and Indiaâ€™s broader clean energy and sustainability objectives, while also creating local employment opportunities during construction and operation phases.</t>
  </si>
  <si>
    <t>Plot No-37, Ashok Manoj Nagar, Bondada House, Kapra</t>
  </si>
  <si>
    <t>Hyderabad</t>
  </si>
  <si>
    <t>Telangana</t>
  </si>
  <si>
    <t>072070 34662</t>
  </si>
  <si>
    <t>info@bondada.net</t>
  </si>
  <si>
    <t>Mr.Raghavendra Rao Bondada - Chairman &amp; Managing Director, Linkedin Id: https://www.linkedin.com/in/bbrao/?</t>
  </si>
  <si>
    <t>Mr.Satyanarayana Baratam - Director, Linkedin Id: https://www.linkedin.com/in/satyanarayana-baratam-2831194a/</t>
  </si>
  <si>
    <t>SASIDHAR T
Project Manager : tsasidhar2@gmail.com / 9963331512</t>
  </si>
  <si>
    <t>talk some another time
not the right person bt will share the details of concern party
concern party didn't pick up the call
NOT REQUIRED NOW Profile sent</t>
  </si>
  <si>
    <t>23/4/2026
24/04/2026</t>
  </si>
  <si>
    <t>Bradken India Pvt Ltd</t>
  </si>
  <si>
    <t>Bradken India's Machining and Heat Treatment Expansion Project</t>
  </si>
  <si>
    <t>Foundry (from 29700 TPA to 80000 TPA), Saleable Ferrous Castings (from 23166 TPA to 57600 TPA), Composite Mill Liners (from 27000 TPA to 50000 TPA)</t>
  </si>
  <si>
    <t>Chettipalayam, Oorattukuppai Village, Madukkarai Taluk</t>
  </si>
  <si>
    <t>Coimbatore</t>
  </si>
  <si>
    <t>Tamil Nadu</t>
  </si>
  <si>
    <t>Bradken India, a leading manufacturer of ferrous castings and composite mill liners, is planning to significantly enhance its production capabilities by setting up a new foundry unit at Oorattukuppai Village, Madukkarai Taluk, Coimbatore, Tamil Nadu. The proposed project involves a major expansion of its existing operations, increasing melting capacity from 29,700 TPA to 80,000 TPA. Saleable ferrous castings capacity will be scaled up from 23,166 TPA to 57,600 TPA, while composite mill liner production will rise from 27,000 TPA to 50,000 TPA. The initial estimated investment for the foundry expansion is Rs. 22.65 million. Construction activities commenced in April 2024 and are expected to be completed by March 2030. As of January 2026, the project is under implementation and includes an additional Machining and Heat Treatment Expansion Project with a further investment of Rs. 660 million. This expansion is expected to strengthen Bradken Indiaâ€™s manufacturing footprint, improve product quality, and cater to growing demand from mining and industrial sectors.</t>
  </si>
  <si>
    <t>D.No.191/3 &amp; 191/4, Chettipalayam - Palladam Road Oorattukuppai</t>
  </si>
  <si>
    <t>094422 42117 / 0422 - 2588502 / 2588529</t>
  </si>
  <si>
    <t>bkindiaenviro@bradken.com</t>
  </si>
  <si>
    <t>Mr.R Hari Shankar - Director</t>
  </si>
  <si>
    <t>Mr.Karthikeyan C - Director</t>
  </si>
  <si>
    <t>SANJAY R. : 9751710255</t>
  </si>
  <si>
    <t>ask to call after sometime
Not responding to any phone calls</t>
  </si>
  <si>
    <t>Bull Machines Pvt Ltd</t>
  </si>
  <si>
    <t>Bull Machines' Electric &amp; Hybrid Vehicles Mfg. Project</t>
  </si>
  <si>
    <t>Automotive Industries</t>
  </si>
  <si>
    <t>Electric &amp; Hybrid Vehicles</t>
  </si>
  <si>
    <t>Sulur</t>
  </si>
  <si>
    <t>Bull Machines is planning to undertake an Electric and Hybrid Vehicles Manufacturing Project in Sulur, Coimbatore district, Tamil Nadu, as part of its strategy to expand into sustainable mobility solutions for the construction and infrastructure sectors. The proposed project involves setting up research and development (R&amp;D) as well as manufacturing facilities for electric and hybrid construction vehicles, focusing on innovation, efficiency, and reduced environmental impact. The facility will support the design, testing, and production of advanced machinery tailored to evolving industry requirements. The total estimated investment for the project is Rs. 3,230 million, which will be utilized for land development, construction of R&amp;D centers and manufacturing units, installation of specialized equipment, and supporting infrastructure. As of December 2025, Bull Machines has signed a Memorandum of Understanding (MoU) with the Tamil Nadu state government, marking a key milestone and reflecting policy support for clean mobility initiatives. Once operational, the project is expected to generate skilled employment, promote technological advancement, and strengthen Coimbatoreâ€™s position as a manufacturing hub for electric and hybrid construction vehicles.</t>
  </si>
  <si>
    <t>S.F. No. 41, Trichy Rd, Sagaya Annai Nagar, Post, Kangayampalayam, Sulur</t>
  </si>
  <si>
    <t>088832 88832 / 098426 70184 / 0120 - 4751333</t>
  </si>
  <si>
    <t>sales@bullmachine.com</t>
  </si>
  <si>
    <t>Mr.Srinath R - Purchase Manager, Linkedin Id: https://www.linkedin.com/in/nikhil-agarwal-687640140/</t>
  </si>
  <si>
    <t>Mr.Aravindhan Ramalingam - Assistant General Manager, Linkedin Id: https://www.linkedin.com/in/aravindhan-ramalingam-4a69b043/</t>
  </si>
  <si>
    <t>Barsha Saha</t>
  </si>
  <si>
    <t>got reference ,the reference person didn't pick the call
Ask to call next day
person is not dealing and not talking properly</t>
  </si>
  <si>
    <t>23/04/26
24/04/26</t>
  </si>
  <si>
    <t>Caliber Interconnect Solutions</t>
  </si>
  <si>
    <t>Caliber Interconnect Solutions' New Semiconductor &amp; Power Electronics Mfg. Facility</t>
  </si>
  <si>
    <t>Semiconductor &amp; Power Electronics</t>
  </si>
  <si>
    <t>Caliber Interconnect Solutions is planning to establish a new Semiconductor and Power Electronics Manufacturing Facility in Coimbatore, Tamil Nadu, aimed at strengthening Indiaâ€™s electronics and semiconductor manufacturing ecosystem. The proposed project involves setting up a state-of-the-art facility for the production of semiconductors, power electronic devices, and related components, equipped with advanced fabrication, assembly, and testing infrastructure. The facility is expected to support the growing demand for electronics in automotive, industrial, renewable energy, and consumer sectors, while contributing to technological advancement and import substitution. The total estimated investment for the project is Rs. 30,000 million, which will be utilized for land development, construction of manufacturing units, clean rooms, precision machinery, utilities, and supporting infrastructure. As of December 2025, Caliber Interconnect Solutions has signed a Memorandum of Understanding (MoU) with the Tamil Nadu state government, reflecting strong government support and facilitating smooth project implementation. Once operational, the facility is expected to generate high-skilled employment, strengthen local supply chains, and position Coimbatore as a hub for semiconductor and power electronics manufacturing.</t>
  </si>
  <si>
    <t>No.87, 3rd Main Road, Dollars Colony, J.P. Nagar, 4th Phase</t>
  </si>
  <si>
    <t>Bengaluru</t>
  </si>
  <si>
    <t>093429 14500</t>
  </si>
  <si>
    <t>sales@caliberinterconnect.com</t>
  </si>
  <si>
    <t>Mr.Senthilkumar Dhamodharan - Purchase Manager, Linkedin Id: https://www.linkedin.com/in/senthilkumar-dhamodharan/</t>
  </si>
  <si>
    <t>didnt find contact details, connected on linkedin</t>
  </si>
  <si>
    <t>Camfil Air Filtration India Pvt Ltd</t>
  </si>
  <si>
    <t>Camfil Air Filtration India's HEPA and ULPA filters Mfg. Expansion Project</t>
  </si>
  <si>
    <t>HEPA and ULPA filters</t>
  </si>
  <si>
    <t>Tirunedungulam, Thuvakudi</t>
  </si>
  <si>
    <t>Tiruchirappalli</t>
  </si>
  <si>
    <t>Camfil Air Filtration India is planning to undertake a HEPA and ULPA Filters Manufacturing Expansion Project at its facility in Tirunedungulam, Thuvakudi, Tiruchirappalli District, Tamil Nadu. The project involves expanding the existing manufacturing operations by acquiring an additional 3.5 acres of land adjacent to the current facility to accommodate new production lines and supporting infrastructure. The expansion will primarily focus on the manufacture of high-end air filtration products, including HEPA and ULPA filters, catering to growing demand from pharmaceuticals, healthcare, cleanroom, and high-tech industrial sectors. The total estimated investment for the project is Rs. 500 million, covering civil construction, advanced machinery installation, and utility augmentation. As of December 2025, the project is in the implementation phase. Following land acquisition and receipt of environmental clearance, the company is progressing toward construction activities and installation of new manufacturing lines, reflecting Camfilâ€™s commitment to expanding its advanced filtration capabilities in India.</t>
  </si>
  <si>
    <t>Plot 32, Sector 3, IMT Manesar</t>
  </si>
  <si>
    <t>Gurugram</t>
  </si>
  <si>
    <t>Haryana</t>
  </si>
  <si>
    <t>066269 41464 / 0124 - 4082405</t>
  </si>
  <si>
    <t>Mr.Latheesh Mohanan - Director, 0124 - 4874137 , Linkedin Id: https://www.linkedin.com/in/latheesh-mohanan/</t>
  </si>
  <si>
    <t>Mr.Neeraj Jain - Director, Linkedin Id: https://www.linkedin.com/in/neeraj-jain-5b571811/</t>
  </si>
  <si>
    <t>Praveen Manocha 8800504117</t>
  </si>
  <si>
    <t>24/04/26</t>
  </si>
  <si>
    <t>set up a meeting  on 24  april @4pm in office</t>
  </si>
  <si>
    <t>Central Railway</t>
  </si>
  <si>
    <t>Central Railway's Gandhidham- Adipur Quadrupling Project</t>
  </si>
  <si>
    <t>Gandhidham- Adipur Quadrupling</t>
  </si>
  <si>
    <t>Central Railway is planning to undertake the Gandhidhamâ€“Adipur Quadrupling Project in Kutch district of Gujarat to strengthen rail infrastructure and improve capacity on a critical freight and passenger corridor. The project involves quadrupling of the existing railway line between Gandhidham and Adipur over a total length of 10.69 kilometres. This section is strategically important due to its proximity to major ports, industrial areas, and logistics hubs in the Kutch region. The total estimated cost of the project is Rs. 1,524.4 million, reflecting the scale of civil, track, and associated railway infrastructure works involved. Construction activities commenced in December 2023 and are scheduled to be completed by February 2026. As of January 2026, the project has been submitted to the State Level Environment Impact Assessment Authority for obtaining the required environmental clearance. Upon completion, the quadrupling project is expected to reduce congestion, enhance operational efficiency, improve train punctuality, and support increased freight movement, thereby contributing to economic growth and industrial development in Gujaratâ€™s Kutch region.</t>
  </si>
  <si>
    <t>First Floor, Annex Building, PCOM's Office, Central Railway Headquarter,Chatrapati Shivaji Maharaj Terminus</t>
  </si>
  <si>
    <t>Mumbai</t>
  </si>
  <si>
    <t>Maharashtra</t>
  </si>
  <si>
    <t>Mr.Shri Rizwan Ahmed - Chief Engineer, 088281 10252, cecmtp@gmail.com</t>
  </si>
  <si>
    <t>Mr.S. R. Prasad - Chief Project Manager, 090044 90253, cpmc2adi@gmail.com</t>
  </si>
  <si>
    <t>couldnt get concern person</t>
  </si>
  <si>
    <t>Devansh Trading Company</t>
  </si>
  <si>
    <t>Devansh Trading Company's Dyes &amp; Dye Intermediates Mfg. Expansion Project</t>
  </si>
  <si>
    <t>Dyes &amp; Dye Intermediates (5800 TPA)</t>
  </si>
  <si>
    <t>MPIDC Industrial Area Meghnagar</t>
  </si>
  <si>
    <t>Jhabua</t>
  </si>
  <si>
    <t>Devansh Trading Company is planning to undertake a significant Dyes &amp; Dye Intermediates Manufacturing Expansion Project at the MPIDC Industrial Area, Meghnagar, Jhabua, Madhya Pradesh. The project aims to expand the existing manufacturing facility to produce 5,800 tonnes per annum (TPA) of dyes and dye intermediates, addressing the growing domestic and international demand for these chemical products. The total estimated cost for the expansion is Rs. 375 million, which will cover the construction of additional production units, installation of advanced machinery, and implementation of modern safety and pollution control measures. The company has scheduled the commencement of construction activities in April 2026, with an anticipated completion by November 2026, ensuring timely operationalization of the expanded facility. As of December 2025, Devansh Trading Company has submitted the project proposal to the State Level Environment Impact Assessment Authority (SEIAA) for obtaining the necessary environment clearance, reflecting the companyâ€™s commitment to sustainable industrial practices and regulatory compliance.</t>
  </si>
  <si>
    <t>Plot No. 137, A.K.V.N, Meghnagar</t>
  </si>
  <si>
    <t>devanshtradingcompany2023@gmail.com</t>
  </si>
  <si>
    <t>Mr.Sanjay Gupta - Director, 098245 48916, sanjayg6600@gmail.com</t>
  </si>
  <si>
    <t>didnt find contact details</t>
  </si>
  <si>
    <t>G K N Chemical India Pvt Ltd</t>
  </si>
  <si>
    <t>G K N Chemical India's New Synthetic Organic Chemical Mfg. Project</t>
  </si>
  <si>
    <t>Synthetic Organic Chemical (22500 MTPM)</t>
  </si>
  <si>
    <t>New Zone area KASEZ, Gandhidham</t>
  </si>
  <si>
    <t>Kachchh</t>
  </si>
  <si>
    <t>G K N Chemical India is planning to undertake a new Synthetic Organic Chemical manufacturing project in the New Zone area of the Kandla Special Economic Zone (KASEZ) at Gandhidham in Kachchh district, Gujarat. The proposed project involves setting up a manufacturing facility with a capacity of 22,500 MTPM for synthetic organic chemicals, aimed at catering to domestic as well as export markets. In addition, the project includes the installation of a 4 MW co-generation power plant to meet captive power requirements and improve energy efficiency and operational reliability. The total investment for the project is estimated at around Rs. 700 million, reflecting the companyâ€™s strategic expansion in the specialty and organic chemicals segment. Construction activities are scheduled to commence in February 2026 and are expected to be completed by August 2026. As of January 2026, the project proposal has been submitted to the State Level Environment Impact Assessment Authority (SEIAA) for obtaining the necessary environmental clearance.</t>
  </si>
  <si>
    <t>A-1001, 1t)th Floor, Privilon, Ambali -Bopal Road, B/H lscon Temple, S.G. Highway</t>
  </si>
  <si>
    <t>02836 - 2522273 / 253711 / 253300 / 252475</t>
  </si>
  <si>
    <t>ratnaswami@gkngroups.com / info@gkngroups.com</t>
  </si>
  <si>
    <t>Mr.Seenivasan Narayanasamy - Director, 099099 51683, seenivaasan@gkngroups.com</t>
  </si>
  <si>
    <t>9909951765 Sujith payachi</t>
  </si>
  <si>
    <t>Ask to call tomorrow
DIDNT PICK THE CALL</t>
  </si>
  <si>
    <t>23/4/2026
24/4/2026</t>
  </si>
  <si>
    <t>GPT Healthcare Ltd</t>
  </si>
  <si>
    <t>GPT Healthcare's Hospital Expansion Project</t>
  </si>
  <si>
    <t>Hospitality and Healthcare</t>
  </si>
  <si>
    <t>Hospital /(150 Beds)</t>
  </si>
  <si>
    <t>Jamshedpur</t>
  </si>
  <si>
    <t>Jharkhand</t>
  </si>
  <si>
    <t>GPT Healthcare is planning to undertake a Hospital Expansion Project in Jamshedpur, Jharkhand, as part of its strategy to strengthen its presence in eastern Indiaâ€™s healthcare sector. The proposed project involves the construction of a new multi-specialty hospital with 150 additional beds, contributing to the companyâ€™s broader vision of building a 1,000-bed hospital chain within the next two years. The expanded facility will offer advanced medical services across key specialties, supported by modern diagnostic, critical care, and surgical infrastructure to meet growing regional healthcare demand. The total investment for the Jamshedpur expansion is estimated at Rs. 700 million, covering civil construction, medical equipment, healthcare technology systems, and supporting infrastructure. The facility is expected to be commissioned by the end of Q3 FY27, enabling timely enhancement of healthcare capacity in the city. As of December 2025, GPT Healthcare has signed a Memorandum of Understanding (MoU) for this project, marking an important milestone toward implementation. Once operational, the expansion is expected to improve access to quality healthcare and generate skilled employment in the region.</t>
  </si>
  <si>
    <t>GPT Centre, JC- 25, Sector- III, Salt Lake</t>
  </si>
  <si>
    <t>Kolkata</t>
  </si>
  <si>
    <t>033 - 405070000</t>
  </si>
  <si>
    <t>ghl.cosec@gptgroup.co.in</t>
  </si>
  <si>
    <t>Mr.Manoj Debnath - Business Development Manager, Linkedin Id: https://www.linkedin.com/in/manoj-debnath-6b40b2309/</t>
  </si>
  <si>
    <t>Mr.Anurag Tantia - Executive Director, Linkedin Id: https://www.linkedin.com/in/anurag-tantia-84a77b16/?</t>
  </si>
  <si>
    <t>didn't get the phone deatils</t>
  </si>
  <si>
    <t>Gyansarover Foundation</t>
  </si>
  <si>
    <t>Gyansarover Foundation's New Medical College and Hospital Project</t>
  </si>
  <si>
    <t>Medical College and Hospital</t>
  </si>
  <si>
    <t>Bikram</t>
  </si>
  <si>
    <t>Patna</t>
  </si>
  <si>
    <t>Gyansarover Foundation is planning to develop a new Medical College and Hospital project at Bikram in Patna district, Bihar, aimed at strengthening healthcare infrastructure and medical education facilities in the region. The proposed project involves the construction of a fully integrated medical college and hospital complex with a total built-up area of 72,380.95 square metres, designed to accommodate academic blocks, teaching hospitals, hostels, and supporting healthcare infrastructure. The total investment for the project is estimated at Rs. 1,650 million. Construction activities are scheduled to commence in September 2026 and are targeted for completion by January 2027. As of December 2025, the project proposal has been submitted to the State Level Environment Impact Assessment Authority (SEIAA) for obtaining the required environmental clearance. Once implemented, the medical college and hospital are expected to significantly improve access to quality healthcare services, create opportunities for medical education and employment, and support the growing healthcare needs of Patna and surrounding areas, while adhering to prescribed environmental and regulatory guidelines.</t>
  </si>
  <si>
    <t>Mahavir Market, Bailey Road, B.M.P Road</t>
  </si>
  <si>
    <t>gimspatnabihar@gmail.com</t>
  </si>
  <si>
    <t>Mr.Sunny Anand - Chairman, 094305 54410, sunny12anand@gmail.com</t>
  </si>
  <si>
    <t>Mr.Rashmi Roy - Head</t>
  </si>
  <si>
    <t>Hind Terminal Pvt Ltd</t>
  </si>
  <si>
    <t>Hind Terminal's New Container Freight Station</t>
  </si>
  <si>
    <t>Container Freight Station</t>
  </si>
  <si>
    <t>Chirner, Taluka Uran</t>
  </si>
  <si>
    <t>Raigarh</t>
  </si>
  <si>
    <t>Hind Terminal is planning to develop a new Container Freight Station (CFS) in Chirner, Taluka Uran, Raigarh, Maharashtra, aimed at enhancing the regionâ€™s logistics and warehousing infrastructure. The proposed project involves the establishment of a modern CFS along with domestic warehousing and allied facilities, including cargo handling yards, storage units, office infrastructure, and supporting utilities to streamline the movement of containerized and bulk cargo. The facility is expected to improve supply chain efficiency for import-export operations and domestic distribution, serving industries across Maharashtra and neighboring states. The total estimated investment for the project is Rs. 1,959.6 million, covering land development, construction, material handling equipment, storage facilities, and ancillary infrastructure. The company plans to commence construction in February 2025 and complete it by November 2026. As of December 2025, the project has been submitted to the State Level Environment Impact Assessment Authority (SEIAA) for environmental clearance, which is a necessary regulatory step before construction can proceed. Upon completion, the project is expected to strengthen Raigarhâ€™s logistics ecosystem and generate employment opportunities in the region.</t>
  </si>
  <si>
    <t>501 'A' Wing, 215 Atrium, Andheri Kurla Road, Andheri (East)</t>
  </si>
  <si>
    <t>022 - 67717777</t>
  </si>
  <si>
    <t>ec.hindterminalchirner@gmail.com / comm@hindterminals.com</t>
  </si>
  <si>
    <t>Mr.Balwant Singh - Deputy General Manager, info@hindterminals.com</t>
  </si>
  <si>
    <t>Mr.Anand Yashwant Kalaskar - Director</t>
  </si>
  <si>
    <t>Indian Poultry Alliance</t>
  </si>
  <si>
    <t>Indian Poultry Alliance's New Greenfield Integrated Poultry Complex</t>
  </si>
  <si>
    <t>Greenfield Integrated Poultry Complex</t>
  </si>
  <si>
    <t>Kishanganj</t>
  </si>
  <si>
    <t>Indian Poultry Alliance is planning to establish a New Greenfield Integrated Poultry Complex in Kishanganj District, Bihar, as part of its strategy to strengthen organized poultry production in eastern India. The project involves setting up a fully integrated poultry complex encompassing breeder farms, hatcheries, broiler grow-out facilities, feed manufacturing units, and processing infrastructure to ensure end-to-end control over the poultry value chain. The total estimated investment for the project is Rs. 3,000 million, reflecting a significant commitment to modern, bio-secure, and scalable poultry operations. As of December 2025, the project is in the greenfield implementation phase, having been announced in late 2025, with plans for rapid scale-up during the 2026â€“2028 period. Once operational, the integrated complex is expected to enhance poultry production capacity, support local farmers through contract farming models, generate employment opportunities, and contribute to food security and rural economic development in the Kishanganj region of Bihar.</t>
  </si>
  <si>
    <t>4, Allana House, J A Allana Road, Electric House, Colaba, Town Hall</t>
  </si>
  <si>
    <t>022 - 6656 9000 / 22628000</t>
  </si>
  <si>
    <t>info@indianpoultryalliance.com</t>
  </si>
  <si>
    <t>Mr.Moiz Chunawala - Director, 098337 90031, mmchunawala@allana.com</t>
  </si>
  <si>
    <t>Mr.Rama Kant - Director, Linkedin Id: https://www.linkedin.com/in/rama-kant-9521bb23/</t>
  </si>
  <si>
    <t>Jindal Steel and Power Ltd</t>
  </si>
  <si>
    <t>Jindal Steel and Power's Structural Steel Mfg. Expansion Project</t>
  </si>
  <si>
    <t>Structural Steel (from 1.2 MTPA to 2.4 MTPA)</t>
  </si>
  <si>
    <t>Chhattisgarh</t>
  </si>
  <si>
    <t>Jindal Steel and Power is planning to undertake a major Structural Steel Manufacturing Expansion Project at its integrated steel facility in Raigarh, Chhattisgarh. The project involves doubling the existing structural steel production capacity from 1.2 million tonnes per annum (MTPA) to 2.4 MTPA, in order to meet the growing demand from infrastructure, construction, and industrial sectors across India. The expansion will include the installation of additional rolling mill capacity, modernization of material handling systems, and augmentation of utilities and supporting infrastructure. The project is scheduled for completion by mid-2028, aligning with the companyâ€™s long-term growth and capacity enhancement strategy. As of December 2025, Jindal Steel and Power has received the necessary consent to establish from the State Pollution Control Authorities, marking a key regulatory milestone. Once operational, the expanded facility is expected to strengthen domestic structural steel supply, enhance operational efficiency, and generate significant employment opportunities in the Raigarh region.</t>
  </si>
  <si>
    <t>Plot No. 507/365, Barbil-Joda Highway</t>
  </si>
  <si>
    <t>Barbil</t>
  </si>
  <si>
    <t>Odisha</t>
  </si>
  <si>
    <t>06767 - 248621 / 25</t>
  </si>
  <si>
    <t>Mr.GB Jspl - General Manager , Linkedin; https://in.linkedin.com/in/gb-jspl-474175121</t>
  </si>
  <si>
    <t>Mr.Shiva Prasad G - Deputy General Manager, Linkedin Id: https://www.linkedin.com/in/shiva-prasad-g-702a31145/</t>
  </si>
  <si>
    <t xml:space="preserve">didn't get the right person
</t>
  </si>
  <si>
    <t>Jupiter Solartech Pvt Ltd</t>
  </si>
  <si>
    <t>Jupiter Solartech's New Solar Cell Mfg. Project</t>
  </si>
  <si>
    <t>Solar Cell (123120000 Nps/Y)</t>
  </si>
  <si>
    <t>Project Work Commenced</t>
  </si>
  <si>
    <t>Village Katha, P.O. &amp; Tehsil Baddi</t>
  </si>
  <si>
    <t>Solan</t>
  </si>
  <si>
    <t>Himachal Pradesh</t>
  </si>
  <si>
    <t>A Jupiter Solartech cell manufacturing unit is being established in Village Katha, Baddi, Solan district, Himachal Pradesh, to strengthen Indiaâ€™s renewable energy manufacturing capabilities. The facility is designed with a planned annual production capacity of 123.12 million solar cells, aimed at supporting domestic solar module production and contributing to the nationâ€™s clean energy targets. The total investment for the project is estimated at Rs. 2,300.4 million. In May 2025, the project received approval from the State High Level Clearance Committee, marking a key regulatory milestone. Construction work officially commenced in June 2025, with preparatory activities including site development, civil works, and equipment installation underway. Once operational, the manufacturing unit is expected to create employment opportunities in the Solan region, support the local and national solar supply chain, and contribute to Himachal Pradeshâ€™s renewable energy growth and sustainability objectives.</t>
  </si>
  <si>
    <t>Plot No. 137/7, 138/1, Village: Katha, P.O. &amp; Tehsil: Baddi</t>
  </si>
  <si>
    <t>01795 - 245678 / 79</t>
  </si>
  <si>
    <t>info@jil-jupiter.com</t>
  </si>
  <si>
    <t>Mr.Mohan Singh - Purchase Executive, Linkedin Id: https://www.linkedin.com/in/mohan-singh-5a823869/?</t>
  </si>
  <si>
    <t>Mr.Devki Nandan Pandey - Director, Linkedin Id:https://www.linkedin.com/in/devki-nandan-pandey-14103030/</t>
  </si>
  <si>
    <t>didn't pick the call</t>
  </si>
  <si>
    <t>Kejriwal Castings Ltd</t>
  </si>
  <si>
    <t>Kejriwal Castings' Blast Furnace Installation Project</t>
  </si>
  <si>
    <t>Blast furnace (225000 TPA) and Captive Power Plant (5 MW), PCI (45000 TPA), Etc.</t>
  </si>
  <si>
    <t>Kanksa, Durgapur</t>
  </si>
  <si>
    <t>Paschim Bardhaman</t>
  </si>
  <si>
    <t>Kejriwal Castings is planning to set up a new ductile iron (DI) pipe manufacturing unit at Kanksa in Durgapur, Barddhaman district of West Bengal, as part of its long-term capacity expansion strategy. The proposed unit will have an initial DI pipe production capacity of 97,200 metric tonnes per annum, with an estimated investment of Rs. 1,064.128 million. Environment clearance for this phase has been under process since July 2018. As of December 2025, the project scope has been significantly expanded to include installation of an integrated blast furnace with a capacity of 225,000 TPA, a 5 MW captive power plant, PCI unit of 45,000 TPA, oxygen plant of 30,000 TPA, nitrogen plant of 9,000 TPA, a sinter plant of 500,000 TPA, and a coal gasifier plant with 30,000 cubic metres per day capacity. The revised project cost is estimated at Rs. 2,000 million. Construction activities are scheduled to commence in November 2026 and are expected to be completed by December 2028. The proposal has been submitted to the Ministry of Environment, Forest and Climate Change, which has sought additional essential details for granting environmental clearance.</t>
  </si>
  <si>
    <t>Millenium City lT Park, DN 62, Satt Lake, Sector - V 14th Floor</t>
  </si>
  <si>
    <t>033 - 48040845 / 48040849 / 48016753 / 8015964</t>
  </si>
  <si>
    <t>info@keiriwalcastinos.com</t>
  </si>
  <si>
    <t>Mr.Pravin Aggarwal - Managing Director</t>
  </si>
  <si>
    <t>Mr.Rajeev Kejriwal - Director</t>
  </si>
  <si>
    <t>not needed right now but shared company details</t>
  </si>
  <si>
    <t>Kenny Pharma Pvt Ltd</t>
  </si>
  <si>
    <t>Kenny Pharma's Synthetic Organic Chemicals Mfg. Expansion Project</t>
  </si>
  <si>
    <t>Synthetic Organic Chemicals (1177.2 TPA)</t>
  </si>
  <si>
    <t>Plot No. 6902 &amp; 6903, GIDC Industrial Estate, Ankleshwar</t>
  </si>
  <si>
    <t>Bharuch</t>
  </si>
  <si>
    <t>Kenny Pharma is planning to undertake a Synthetic Organic Chemicals Manufacturing Expansion Project at Plot Nos. 6902 and 6903, GIDC Industrial Estate, Ankleshwar, Bharuch district, Gujarat. The proposed project involves expanding the existing manufacturing facilities to produce synthetic organic chemicals with an additional capacity of 1,177.2 tonnes per annum (TPA). The expansion is aimed at meeting growing demand from pharmaceutical and allied industries while improving operational efficiency and product portfolio. The total estimated investment for the project is Rs. 94.057 million, which will be utilized for civil construction, installation of additional plant and machinery, utilities, and pollution control systems. The company plans to commence construction activities in June 2026 and complete them by December 2026. As of December 2025, the project proposal has been submitted to the State Level Environment Impact Assessment Authority (SEIAA) for obtaining environmental clearance. Upon implementation, the expansion is expected to enhance production capabilities and support industrial growth in the Ankleshwar chemical cluster.</t>
  </si>
  <si>
    <t>02646 - 223667 / 0278 - 2205325</t>
  </si>
  <si>
    <t>kennypharma_pvtltd@yahoo.co.in</t>
  </si>
  <si>
    <t>Mr.Valamji H Desai - Director, 099250 13003</t>
  </si>
  <si>
    <t>Mr.Kishor Kheni - Director, 02646 - 224891, kishor_kheni@yahoo.co.in</t>
  </si>
  <si>
    <t>did not get the contact details of concern party</t>
  </si>
  <si>
    <t>Keylink Global Exim</t>
  </si>
  <si>
    <t>Keylink Global Exim's New Pharmaceutical Products Mfg Project</t>
  </si>
  <si>
    <t>Miscellaneous</t>
  </si>
  <si>
    <t>Injection (12000000 Nos/year), Capsule 1&amp;2 (120000000 Nos/year), Tablet (180000000 Nos/year)</t>
  </si>
  <si>
    <t>Kk No. 111/143, Village Dher Majra, Kalyanpur, Tehsil Nalagarh, Nalagarh,</t>
  </si>
  <si>
    <t>Solan Baddi,</t>
  </si>
  <si>
    <t>Keylink Global Exim is set to establish a new pharmaceutical manufacturing facility in Village Dher Majra, Kalyanpur, Tehsil Nalagarh, Solan Baddi, Himachal Pradesh, aimed at strengthening the regionâ€™s pharmaceutical production capacity. The proposed facility will manufacture a diverse range of products, including 12 million injections, 120 million capsules, and 180 million tablets annually, catering to both domestic and potential export markets. The total estimated investment for the project is Rs. 120.381 million. As of December 2025, the company has received consent from the State Pollution Control Board, allowing it to proceed with the establishment of the facility in compliance with environmental regulations. Once operational, the plant is expected to enhance local pharmaceutical manufacturing capabilities, generate employment opportunities, and contribute to the availability of high-quality healthcare products in Himachal Pradesh and surrounding regions, supporting the broader growth of the pharmaceutical sector in India.</t>
  </si>
  <si>
    <t>Kk No. 111/143, Village Dher Majra, Kalyanpur, Tehsil Nalagarh Nalagarh,</t>
  </si>
  <si>
    <t>Solan Baddi</t>
  </si>
  <si>
    <t>097366 52622</t>
  </si>
  <si>
    <t>keylinkglobal@yahoo.com</t>
  </si>
  <si>
    <t>Mr.Rakesh Kumar - Director</t>
  </si>
  <si>
    <t>Mr.Rakesh Chaudhary - Managing Director, 097366 52622</t>
  </si>
  <si>
    <t>Krivish Hospitality Pvt Ltd</t>
  </si>
  <si>
    <t>Krivish Hospitality's New Hotel Construction Project</t>
  </si>
  <si>
    <t>Hotel (97,460 sq.m)</t>
  </si>
  <si>
    <t>Gram Jakhiya, Tehsil- Malharganj</t>
  </si>
  <si>
    <t>Indore</t>
  </si>
  <si>
    <t>Krivish Hospitality is planning to undertake a new hotel construction project in Gram Jakhiya, Tehsil Malharganj, Indore, Madhya Pradesh, as part of its expansion strategy in the hospitality sector. The project involves the development of a state-of-the-art hotel covering an area of 97,460 sq.m, featuring modern accommodations, banquet halls, restaurants, recreational facilities, and supporting infrastructure to cater to business and leisure travelers. The hotel is expected to enhance the regionâ€™s tourism and hospitality offerings while creating employment opportunities across multiple service and management sectors. The total estimated investment for the project is Rs. 4,653.6 million, which will be allocated for land development, building construction, interior design, utilities, and operational infrastructure. The company plans to commence construction in February 2026 and complete it by March 2028. As of December 2025, the project proposal has been submitted to the State Level Environment Impact Assessment Authority (SEIAA) for environmental clearance, which is a critical regulatory step prior to the start of construction activities. Once completed, the hotel is expected to significantly contribute to Indoreâ€™s hospitality infrastructure.</t>
  </si>
  <si>
    <t>G-110-116,Yashwant Plaza,Opposite Railway Station,Tukoganj</t>
  </si>
  <si>
    <t>krivishhospitality@protonmail.com</t>
  </si>
  <si>
    <t>Mr.Sanjay Shukla - Director</t>
  </si>
  <si>
    <t>Ms.Anjali Shukla - Director</t>
  </si>
  <si>
    <t>Company incorported in 2024, could'nt find contact details</t>
  </si>
  <si>
    <t>Leelawati Devi Educational Trust</t>
  </si>
  <si>
    <t>Leelawati Devi Educational Trust's New CRK Medical College and Hospital</t>
  </si>
  <si>
    <t>CRK Medical College and Hospital</t>
  </si>
  <si>
    <t>Dhanauti Chak Afzal, Dhanauti Jawanpuri</t>
  </si>
  <si>
    <t>Vaishali</t>
  </si>
  <si>
    <t>Leelawati Devi Educational Trust is planning to establish a new CRK Medical College and Hospital in Dhanauti Chak Afzal, Dhanauti Jawanpuri, Hajipur, Vaishali, Bihar. The project involves the development of a modern medical college and hospital facility aimed at providing quality medical education and healthcare services to the region. The total estimated investment for the project is Rs. 600 million. Construction activities are scheduled to commence in March 2026 and are expected to be completed by March 2027. As of January 2026, the project has been submitted to the State Level Environment Impact Assessment Authority for environmental clearance. This initiative is expected to enhance healthcare infrastructure, generate employment opportunities for medical professionals and support staff, and contribute to the overall development of medical education and healthcare accessibility in Vaishali district and surrounding areas. The facility will serve as a critical institution for training future medical practitioners and providing advanced healthcare services.</t>
  </si>
  <si>
    <t>Bari Yusufpur Hajipur</t>
  </si>
  <si>
    <t>084098 45396 / 0 91224 45455</t>
  </si>
  <si>
    <t>ldet.hajipur@gmail.com</t>
  </si>
  <si>
    <t>Mr.Anil Kumar - Secretary, 094310 60398, anil.crkcollege@gmail.com</t>
  </si>
  <si>
    <t>Mr.Snehal Gajbhiv - Deputy Manager, Linkedin Id: https://www.linkedin.com/in/snehal-gajbhiv-07692898/?</t>
  </si>
  <si>
    <t>Lifevision Healthcare</t>
  </si>
  <si>
    <t>Lifevision Healthcare's Aluminium Foil Printed Mfg. Project</t>
  </si>
  <si>
    <t>Aluminium Foil Printed (120 MT/Y)</t>
  </si>
  <si>
    <t>Bagbania, PO Manpura, Baddi</t>
  </si>
  <si>
    <t>Lifevision Healthcare is planning to establish an Aluminium Foil Printed Manufacturing Project at Bagbania, PO Manpura, Baddi, in Solan district of Himachal Pradesh. The proposed project involves setting up a dedicated manufacturing facility for the production of printed aluminium foil with an installed capacity of 120 metric tonnes per year (MT/Y). The unit is intended to cater primarily to the pharmaceutical and packaging industries, where printed aluminium foil is widely used for blister packaging and protective applications. The total estimated investment for the project is Rs. 86.76 million. As of January 2026, the company has received consent to establish the project from the state pollution control authorities, enabling it to proceed with implementation. The project is expected to strengthen local manufacturing capabilities, generate employment opportunities, and support the growing packaging needs of the pharmaceutical sector in the Baddi industrial region.</t>
  </si>
  <si>
    <t>Plot No. 139, 140, 141, Baddi, Epip Phase-I, Jharmajri</t>
  </si>
  <si>
    <t>080481 13566</t>
  </si>
  <si>
    <t>enquiry@lifevisionhealthcarechd.com</t>
  </si>
  <si>
    <t>Mr.Mumtaz Anjum - Business Development Manager, Linkedin Id: https://www.linkedin.com/in/mumtaz-anjum-203068216/</t>
  </si>
  <si>
    <t>Mr.Nidhi Semwal - Purchase, 093163 27885</t>
  </si>
  <si>
    <t>M M Castings Pvt Ltd</t>
  </si>
  <si>
    <t>M M Castings' New Steel Casting Products Mfg. Unit</t>
  </si>
  <si>
    <t>Steel Casting Products</t>
  </si>
  <si>
    <t>Ganjam</t>
  </si>
  <si>
    <t>M M Castings is planning to establish a new Steel Casting Products Manufacturing Unit in Ganjam district, Odisha, to expand its production capabilities and cater to rising demand from infrastructure, engineering, and industrial sectors. The proposed project involves setting up a modern steel casting facility equipped with advanced melting, molding, casting, heat treatment, and finishing systems to ensure consistent quality and high production efficiency. The unit is expected to manufacture a range of steel casting products for domestic as well as export markets. The total investment for the project is estimated at Rs. 650 million, which will be utilized for land development, plant and machinery, utilities, and supporting infrastructure. As of December 2025, M M Castings has received investment approval from the State Level Single Window Clearance Authority (SLSWCA), marking a key regulatory milestone for project implementation. Once commissioned, the unit is expected to generate employment opportunities and contribute to the industrial growth of the Ganjam region while strengthening Odishaâ€™s manufacturing base.</t>
  </si>
  <si>
    <t>Sector 59 (Jharsaintly-Jhajru Road), Ballabgarh</t>
  </si>
  <si>
    <t>Faridabad</t>
  </si>
  <si>
    <t>0129 - 4199666 / 4150999</t>
  </si>
  <si>
    <t>info@mmcastings.com</t>
  </si>
  <si>
    <t>Mr.Manoj Mittal - Director, Linkedin Id: https://www.linkedin.com/in/manoj-mittal1/</t>
  </si>
  <si>
    <t>Ms.Kavya Mittal - Managing Director, Linkedin Id: https://www.linkedin.com/in/kavya-mittal/</t>
  </si>
  <si>
    <t>Madhya Bharat Phosphate Pvt Ltd</t>
  </si>
  <si>
    <t>Madhya Bharat Phosphate's Fertilizer, Acid &amp; Beneficiation Plant Expansion Project</t>
  </si>
  <si>
    <t>Fertilizer, Acid &amp; Beneficiation Plant</t>
  </si>
  <si>
    <t>MPIDC Meghnagar Industrial Area</t>
  </si>
  <si>
    <t>Madhya Bharat Phosphate is planning to undertake a major Fertilizer, Acid and Beneficiation Plant expansion project at its existing facility located in the MPIDC Meghnagar Industrial Area in Jhabua district, Madhya Pradesh. The proposed expansion aims to significantly enhance the companyâ€™s integrated fertilizer manufacturing capabilities. Under the project, the NPK/DAP fertilizer plant will be expanded to a capacity of approximately 1,000 tonnes per day, enabling higher production to meet growing agricultural demand. In addition, a phosphoric acid unit with a capacity of around 200 tonnes per day will be developed to strengthen backward integration and ensure a stable supply of key raw materials. The project also includes the installation of a beneficiation plant designed to upgrade low-grade rock phosphate into high-grade concentrate suitable for fertilizer production. The total investment for the expansion is estimated at about Rs. 2,470 million. As of January 2026, the investment proposal and land requirements have been approved by the Madhya Pradesh state government and the Madhya Pradesh Industrial Development Corporation (MPIDC).</t>
  </si>
  <si>
    <t>301/302, 3rd Floor, Atlanta Centre, Near Udyog Bhawan, Sonawala Road, Goregaon East</t>
  </si>
  <si>
    <t>022 - 42702525</t>
  </si>
  <si>
    <t>cosec@shreepushkar / comnfo@shreepushkar.com</t>
  </si>
  <si>
    <t>Mr.Punit Gopikishan Makharia - Director, Linkedin Id: https://www.linkedin.com/in/punit-makharia-688437a5/</t>
  </si>
  <si>
    <t>Mr.Virendra Kumar Harishankar Singh - Director</t>
  </si>
  <si>
    <t>Melzer Chemicals Pvt Ltd</t>
  </si>
  <si>
    <t>Melzer Chemicals' New Specialty Chemicals Mfg. Unit</t>
  </si>
  <si>
    <t>Specialty Chemicals (14640 TPA)</t>
  </si>
  <si>
    <t>MIDC Kurkumbh, Taluka: Daund</t>
  </si>
  <si>
    <t>Pune</t>
  </si>
  <si>
    <t>Melzer Chemicals is planning to develop a new Specialty Chemicals Manufacturing Unit at MIDC Kurkumbh, Taluka Daund, Pune district, Maharashtra, to expand its footprint in the specialty chemicals segment. The project involves the manufacturing of specialty synthetic organic chemicals with a capacity of 14,400 TPA and the formulation of specialty chemicals with an additional capacity of 6,000 TPA. The proposed facility will cater to diversified industrial applications and is designed with modern production technology and environmental management systems. Melzer Chemicals is planning to develop a new Specialty Chemicals Manufacturing Unit at MIDC Kurkumbh, Taluka Daund, Pune district, Maharashtra, to expand its footprint in the specialty chemicals segment. The project involves the manufacturing of specialty synthetic organic chemicals with a capacity of 14,400 TPA and the formulation of specialty chemicals with an additional capacity of 6,000 TPA. The proposed facility will cater to diversified industrial applications and is designed with modern production technology and environmental management systems.</t>
  </si>
  <si>
    <t>S No.132/2 &amp; 3, Plot No.22, Gulmohar Park, ITI Road, Anudh, Gulmohar Park Road, Ward No. 8, Pushpak Park, Aundh</t>
  </si>
  <si>
    <t>Mr.Sunil B Shinde - Director, 098500 36184, s.kadve@melzerspeciality.com</t>
  </si>
  <si>
    <t>Mr.Sanjeev Mane - Head - Purchase, Linkedin Id: https://www.linkedin.com/in/sanjeev-mane-53288b52/</t>
  </si>
  <si>
    <t>Micron Semiconductor Technology India Pvt Ltd</t>
  </si>
  <si>
    <t>Micron Semiconductor Technology India's Semiconductor Assembly and Test Facility Expansion Project</t>
  </si>
  <si>
    <t>Semiconductor Assembly and Test Facility</t>
  </si>
  <si>
    <t>Sanand GIDC-II Industrial Estate</t>
  </si>
  <si>
    <t>Micron Semiconductor Technology India is planning a major expansion of its Semiconductor Assembly and Test Facility at Sanand GIDC-II Industrial Estate, Ahmedabad, Gujarat. The project focuses on expanding the Assembly, Testing, Marking, and Packaging (ATMP) operations in Phase 2 and Phase 3 to enhance production capabilities and meet growing demand for advanced semiconductor components. The estimated investment for this expansion is Rs. 132,254 million, reflecting the scale and technological sophistication of the facility. Construction activities are scheduled to commence in October 2025 and are expected to be completed by December 2028. As of January 2026, the project has been submitted to the State Level Environment Impact Assessment Authority for environmental clearance. This expansion is poised to strengthen Indiaâ€™s semiconductor manufacturing ecosystem, create high-tech employment opportunities, and support the countryâ€™s vision of self-reliance in critical electronics and semiconductor production.</t>
  </si>
  <si>
    <t>Plot No. SM-12, 51/3, Sanand GIDC-II, Industrial Estate, Taluka: Sanand</t>
  </si>
  <si>
    <t>0271 - 7694500</t>
  </si>
  <si>
    <t>corporatenotices@micron.com</t>
  </si>
  <si>
    <t>Mr.Partha De - Director, parthad@micron.com</t>
  </si>
  <si>
    <t>Mr.Ishan Trivedi - Purchase Manager, Linkedin Id: https://www.linkedin.com/in/ishan-trivedi-a8644627b/</t>
  </si>
  <si>
    <t>Modi Biotech Pvt Ltd</t>
  </si>
  <si>
    <t>Modi Biotech's Grain Based Ethanol Plant Expansion Project</t>
  </si>
  <si>
    <t>Grain Based Ethanol (from 210 KLD to 500 TPD)</t>
  </si>
  <si>
    <t>Village Bhilai, Arang</t>
  </si>
  <si>
    <t>Raipur</t>
  </si>
  <si>
    <t>Modi Biotech is setting up a state-of-the-art grain-based ethanol plant in Village Bhilai, Arang, Raipur, Chhattisgarh. The initial phase involves constructing an ethanol plant with a capacity of 210 KLD, using grains as the primary raw material and incorporating Zero Liquid Discharge (ZLD) technology for efficient wastewater management. A 5 MW captive power plant will ensure uninterrupted power supply. The project, estimated at Rs. 1920 million, was submitted to the Ministry of Environment, Forest and Climate Change in May 2023. In May 2025, the company planned an expansion, increasing ethanol capacity from 210 KLD to 500 KLD and cogeneration power from 5 MW to 15 MW, with an additional investment of Rs. 15 million. Construction occurred from August 2025 to January 2026. Further expansion from January 2026 includes increasing ethanol production to 600 KLD, cogeneration power to 12 MW, and adding a 10 KLPD malt spirit plant, with a total investment of Rs. 2500 million, submitted to the State Level Environment Impact Assessment Authority for clearance, with construction scheduled from October 2026 to July 2027.</t>
  </si>
  <si>
    <t>D-185/1B &amp; 1C, Okhla Industrial Area, Phase-1</t>
  </si>
  <si>
    <t>New Delhi</t>
  </si>
  <si>
    <t>Delhi</t>
  </si>
  <si>
    <t>modibiotech2021@gmail.com</t>
  </si>
  <si>
    <t>Mr.Ankit Agarwal - Secretary, 098100 32616</t>
  </si>
  <si>
    <t>Mr.Jitendra Malik - General Manager</t>
  </si>
  <si>
    <t xml:space="preserve">7905360275 sneha </t>
  </si>
  <si>
    <t xml:space="preserve">company profile sent </t>
  </si>
  <si>
    <t>Mvp Oils And Energies Pvt Ltd</t>
  </si>
  <si>
    <t>Mvp Oils And Energies' New Biodiesel Manufacturing Unit</t>
  </si>
  <si>
    <t>Petroleum</t>
  </si>
  <si>
    <t>Biodiesel (30 TPD)</t>
  </si>
  <si>
    <t>Village: Balapur, Taluka: Dharmabad</t>
  </si>
  <si>
    <t>Nanded</t>
  </si>
  <si>
    <t>MVP Oils and Energies is planning to establish a new biodiesel manufacturing unit in Village Balapur, Taluka Dharmabad, Nanded, Maharashtra, aimed at enhancing sustainable energy production in the region. The proposed project involves setting up a state-of-the-art manufacturing facility with a biodiesel production capacity of 30 TPD. In addition to biodiesel, the unit will also produce 10 TPD of soap and 10 TPD of fatty acids, ensuring optimal utilization of raw materials and generating valuable by-products. The total estimated investment for the project is Rs. 51.2 million. Construction activities are scheduled to begin in May 2026 and are expected to be completed by September 2026. As of January 2026, the project has been submitted to the State Level Environment Impact Assessment Authority for obtaining the necessary environmental clearance. This initiative is expected to promote renewable energy adoption, create employment opportunities, and support sustainable industrial development in the Nanded district.</t>
  </si>
  <si>
    <t>Plot No: 2-1/1/C, Gut No: 32/3, Mauje Balapur Dharmabad</t>
  </si>
  <si>
    <t>mvpoilsandenergies@gmail.com</t>
  </si>
  <si>
    <t>Mr.Shantanu Chandrakant Patil - Director, 070207 87221</t>
  </si>
  <si>
    <t>shantanu patel 7020787221</t>
  </si>
  <si>
    <t>National Highways Authority of India</t>
  </si>
  <si>
    <t>NHAI's New Road Construction Project</t>
  </si>
  <si>
    <t>4L of Pathalgaon-Kunkuri-CG/JH Border (104.250 Km)</t>
  </si>
  <si>
    <t>Pathalgaon-Kunkuri</t>
  </si>
  <si>
    <t>Jashpur</t>
  </si>
  <si>
    <t>The National Highways Authority of India (NHAI) is planning a new road construction project in Jashpur district, Chhattisgarh, aimed at enhancing connectivity and transportation efficiency in the region. The project involves the construction of a four-lane highway along the Pathalgaonâ€“Kunkuriâ€“Chhattisgarh/Jharkhand border section of National Highway 43, covering a stretch from Km 0.000 to Km 104.250. The total estimated investment for the project is Rs. 35,552.4 million, reflecting its strategic importance in improving regional road infrastructure and supporting economic growth. As of December 2025, Krishna Constellation Pvt. Ltd has been appointed as the contractor for executing the project. Once completed, the upgraded highway is expected to significantly reduce travel time, enhance road safety, and facilitate smoother movement of goods and passengers between Chhattisgarh and neighboring states, while boosting trade and local development along the corridor.</t>
  </si>
  <si>
    <t>No. 36/414(3), Near NSS Higher Secondary School, Palkulangara</t>
  </si>
  <si>
    <t>Thiruvananthapuram</t>
  </si>
  <si>
    <t>Kerala</t>
  </si>
  <si>
    <t>0471 - 2460924 / 081300 06165</t>
  </si>
  <si>
    <t>piutvp@nhai.org / nhaitvm@gmail.com</t>
  </si>
  <si>
    <t>Mr.Debaprasad Sahoo - DGM(T) Cum Project Director, 070653 34033</t>
  </si>
  <si>
    <t>Mr.Varun Chari - Project Director, 081300 06245, Linkedin Id: https://www.linkedin.com/in/srinath-r-24400b2b2/</t>
  </si>
  <si>
    <t>NHAI's New Delhi-Amritsar-Katra Expressway</t>
  </si>
  <si>
    <t>Delhi-Amritsar-Katra Expressway Phase-II Pkg-XV</t>
  </si>
  <si>
    <t>Samba and Kathua</t>
  </si>
  <si>
    <t>Multiple Districts</t>
  </si>
  <si>
    <t>Jammu and Kashmir</t>
  </si>
  <si>
    <t>The National Highways Authority of India (NHAI) is planning to develop the New Delhiâ€“Amritsarâ€“Katra Expressway in Samba and Kathua districts of Jammu and Kashmir. The project specifically involves the construction of Phase-II, Package XV of the Expressway, covering the stretch from the junction with Hiranagar Road near village Gurha Baildaran to the junction with Jammu Ring Road (NH-244A) near Jakh village, spanning from Km 468.100 to Km 503.250. The total estimated cost of this project is Rs. 42,014 million, aimed at enhancing regional connectivity, reducing travel time, and improving logistics along the strategic corridor. Construction activities commenced in September 2022 and are expected to be completed by February 2026. As of December 2025, the project is in the active implementation stage. Vishwa Samudra Engineering Pvt. Ltd. has been appointed as the contractor for this package, responsible for executing civil works, ensuring quality standards, and adhering to environmental and safety requirements throughout the construction phase.</t>
  </si>
  <si>
    <t>C 129 Road No. 2C, Ashok Nagar</t>
  </si>
  <si>
    <t>Ranchi</t>
  </si>
  <si>
    <t>0651 - 2244030</t>
  </si>
  <si>
    <t>roranchi@nhai.org</t>
  </si>
  <si>
    <t>Mr.RO Ranchi - Regional Officer, piuaurangabad@nhai.org</t>
  </si>
  <si>
    <t>Mr.Rajiv Kumar - Project Director, 081300 06157, jam@nhai.org</t>
  </si>
  <si>
    <t>ashoh nagar</t>
  </si>
  <si>
    <t>NHAI's New Four Laning Road Project</t>
  </si>
  <si>
    <t>Central Government</t>
  </si>
  <si>
    <t>Pandoh bypass to Takoli ( 20.7 km)</t>
  </si>
  <si>
    <t>Mandi</t>
  </si>
  <si>
    <t>The National Highways Authority of India (NHAI) is implementing a four-laning road project in Himachal Pradesh under the NHDP Phase-IVB, aimed at improving highway capacity and safety in the hilly terrain. The project involves the four-laning of the Pandoh bypass (Km 221.305) to Takoli section (Km 242.000) of NH-21, covering a total length of about 20.7 km. This corridor is strategically important as it enhances connectivity between key locations in the Mandiâ€“Kullu region and supports tourism, trade, and regional mobility. The project has been awarded to Shapoorji Pallonji Pandoh Takoli Highway Private Limited, which is responsible for execution. The total estimated project cost is Rs. 26,000 million, including civil works, structures, tunnels, bridges, slope protection, and other highway infrastructure components. Construction activities commenced in March 2018. Although the project was initially targeted for completion earlier, due to terrain challenges and execution complexities, the revised completion timeline extends to June 2026.</t>
  </si>
  <si>
    <t>Neenjas Electric Pvt Ltd</t>
  </si>
  <si>
    <t>Neenjas Electric's New Electric Vehicle Mfg. Facility</t>
  </si>
  <si>
    <t>Electric Vehicle</t>
  </si>
  <si>
    <t>Sector 8D, Yamuna Expressway (near Noida International Airport)</t>
  </si>
  <si>
    <t>Noida</t>
  </si>
  <si>
    <t>Neenjas Electric is planning to establish a New Electric Vehicle Manufacturing Facility in Sector 8D along the Yamuna Expressway, near the upcoming Noida International Airport in Uttar Pradesh. The proposed project involves setting up a modern EV manufacturing facility with a built-up area of approximately 20,000 square metres, designed to support the production of electric vehicles and related components. The total estimated investment for the project is Rs. 1,690 million, covering land development, construction of manufacturing sheds, installation of advanced production lines, and supporting utilities. As of December 2025, the project has reached the Letter of Intent (LoI) issued and planning phase, with statutory approvals and detailed engineering activities in progress. Construction activities are expected to commence shortly, following completion of initial planning and procurement processes. Once operational, the facility is expected to strengthen the electric mobility ecosystem in Uttar Pradesh, generate employment opportunities, and contribute to Indiaâ€™s transition toward clean and sustainable transportation solutions.</t>
  </si>
  <si>
    <t>B50, Sector 59</t>
  </si>
  <si>
    <t>Mr.Shaina Pathak - Director, 098883 43354, shaina.pathak@neenjastechnologies.com</t>
  </si>
  <si>
    <t>Mr.Harpreet Singh - Director, 070425 58823, harpreet@neenjastechnologies.com</t>
  </si>
  <si>
    <t>Neolite ZKW Lightings Ltd</t>
  </si>
  <si>
    <t>Neolite ZKW Lightings' New Greenfield Manufacturing Facility</t>
  </si>
  <si>
    <t>Automotive Lighting Systems</t>
  </si>
  <si>
    <t> </t>
  </si>
  <si>
    <t>Plot No-19, SIPCOT Industrial Park, Sriperumbudur Phase-IV (Mambakkam)</t>
  </si>
  <si>
    <t>Kancheepuram</t>
  </si>
  <si>
    <t>Neolite ZKW Lightings is planning to take up a New Greenfield Manufacturing Facility in Plot No-19, SIPCOT Industrial Park, Sriperumbudur Phase-IV (Mambakkam), Kancheepuram, Tamil Nadu. The project involves setting up Kancheepuram Greenfield Manufacturing Facility The new plant will produce advanced automotive lighting systems (Headlamps, Tail lamps, and Interior lighting) for the South Indian automotive hub, which includes clients like Daimler India Commercial Vehicles and Stellantis. The project is estimated to cost Rs.6000 million. As of December 2025, DRHP Filed / Pre-Implementation. The company has officially filed papers with SEBI and is awaiting regulatory approval to proceed with the IPO and construction.</t>
  </si>
  <si>
    <t>N-13, 2nd Floor, South Extension Part-I</t>
  </si>
  <si>
    <t>01276 - 350001 / 306306</t>
  </si>
  <si>
    <t>info@neolitezkw.com / careers@neolitezkw.com</t>
  </si>
  <si>
    <t>Mr.Ranjit Kocchhar - Vice President - Sales, ranjit.kochar@neolitezkw.com</t>
  </si>
  <si>
    <t>Mr.Rajesh Jain - Managing Director, Linkedin Id: https://www.linkedin.com/in/rajesh-jain-2963396b/</t>
  </si>
  <si>
    <t>NLC India Ltd</t>
  </si>
  <si>
    <t>NLC India's Talabira Opencast Project</t>
  </si>
  <si>
    <t>Mining</t>
  </si>
  <si>
    <t>Talabira Opencast (20 MTPA)</t>
  </si>
  <si>
    <t>Jharsuguda and Sambalpur</t>
  </si>
  <si>
    <t>Multiple District</t>
  </si>
  <si>
    <t>NLC India is planning to take up new talabira opencast project in Orissa. The project involves mining of Talabira unit II and III with normative capacity of 20 MTPA and peak capacity of 23 MTPA in Sambalpur &amp; Jharsuguda. The estimated cost of the project is Rs.24010 million. On July 2018, environment clearance for the project is underway. As of January 2026, project involves development of Talabira II &amp; III OCP - FMC is of 8 MTPA capacity with investment Rs.5224.5 Million. The current status of the project is Notice to Proceed and is being developed through the EPC route.</t>
  </si>
  <si>
    <t>Plot No 3087, Chaitanya Nagar</t>
  </si>
  <si>
    <t>Sambalpur</t>
  </si>
  <si>
    <t>Orissa</t>
  </si>
  <si>
    <t>0663 - 2548142</t>
  </si>
  <si>
    <t>gmtalabira.nlc@gmail.com</t>
  </si>
  <si>
    <t>Mr.Suresh Chandra Suman - General Manager - Mine Planning, 04142 - 228413, gm.mineplanning@nlcindia.com</t>
  </si>
  <si>
    <t>Mr.Anurag Mittal - Chief General Manager, Linkedin Id: https://www.linkedin.com/in/anurag-mittal-a0913b11/?</t>
  </si>
  <si>
    <t>North Eastern Railway</t>
  </si>
  <si>
    <t>Eastern Railway's New Bhagalpur-Dumka-Rampurhat Double Line</t>
  </si>
  <si>
    <t>Bhagalpur-Dumka-Rampurhat Double Line</t>
  </si>
  <si>
    <t>Multiple Location</t>
  </si>
  <si>
    <t>Multiple States</t>
  </si>
  <si>
    <t>Eastern Railway is planning to undertake the Bhagalpurâ€“Dumkaâ€“Rampurhat New Double Line project in the eastern region to strengthen rail connectivity and improve operational efficiency. The project involves the development of a 177.16-kilometre double-line railway corridor, aimed at easing congestion, enhancing freight movement, and improving passenger services across Bihar and Jharkhand. The proposed infrastructure includes the construction of around 100 Road Over Bridges (ROB) and Road Under Bridges (RUB), along with 22 major bridges and 290 minor bridges, highlighting the projectâ€™s engineering scale and complexity. The total estimated cost of the project is Rs. 31,685.8 million. Construction activities are scheduled to commence in April 2026 and are expected to be completed by September 2028. As of January 2026, the project is at the Detailed Project Report (DPR) and feasibility study stage and is planned to be executed through the Engineering, Procurement, and Construction (EPC) route. Once completed, the project will significantly improve regional rail capacity, connectivity, and economic development.</t>
  </si>
  <si>
    <t>Div II, Office Of The DY CE, Lahartara Road, Near Cancer Hospital</t>
  </si>
  <si>
    <t>Varanasi</t>
  </si>
  <si>
    <t>0542 - 2221712</t>
  </si>
  <si>
    <t>dyce2bsb@gmail.com</t>
  </si>
  <si>
    <t>Mr.Dhirendar Pal Singh - Executive Engineer , 09794 844287 wrong number</t>
  </si>
  <si>
    <t>Mr.Pramod Kumar Sharma - Chief Administrative Officer, 090020 20250, caoconer27400@gmail.com</t>
  </si>
  <si>
    <t>NTPC Ltd</t>
  </si>
  <si>
    <t>NTPC's Gadarwara Super Thermal Power Project Stage - II</t>
  </si>
  <si>
    <t>Gadarwara Super Thermal Power (2*800 MW)</t>
  </si>
  <si>
    <t>Gadarwara</t>
  </si>
  <si>
    <t>Narsinghpur</t>
  </si>
  <si>
    <t>NTPC is set to undertake the Gadarwara Super Thermal Power Project Stage-II at Gadarwara in Narsinghpur district, Madhya Pradesh, as part of its strategy to strengthen baseload power capacity in central India. The project involves the installation of two additional coal-based units of 800 MW each, adding a total capacity of 1,600 MW and significantly enhancing the regionâ€™s power generation capability. The total investment for the project is estimated at â‚¹204,456 million. In November 2024, the project received approval from NTPCâ€™s board, marking a key milestone in its development. Construction activities commenced in May 2025 and are scheduled to be completed by January 2031. The project proposal has been submitted to the State Level Environment Impact Assessment Authority for obtaining environmental clearance. As of December 2025, Larsen &amp; Toubro has been appointed as the EPC contractor, and the project is at the Notice to Proceed stage. Once commissioned, the expansion is expected to support rising electricity demand, promote industrial growth, and strengthen grid reliability in Madhya Pradesh and adjoining states.</t>
  </si>
  <si>
    <t>Plot No. A-8A, Sector-24, Post Box No. 13</t>
  </si>
  <si>
    <t>0120 - 4948000 / 2410333 / 2410801</t>
  </si>
  <si>
    <t>environment.ntpc@gmail.com</t>
  </si>
  <si>
    <t>Mr.Toopran Vishal - Senior Manager - EMG Dept</t>
  </si>
  <si>
    <t>Mr.Arun Kumar - Deputy General Manager, 073889 22226, arunkumar14@ntpc.co.in</t>
  </si>
  <si>
    <t>Oberoi Group</t>
  </si>
  <si>
    <t>Oberoi Group's New 5-Star Luxury Resort</t>
  </si>
  <si>
    <t>5-Star Luxury Resort</t>
  </si>
  <si>
    <t>Peruru Village</t>
  </si>
  <si>
    <t>Tirupati</t>
  </si>
  <si>
    <t>Andhra Pradesh</t>
  </si>
  <si>
    <t>Oberoi Group is planning to develop a new 5-Star Luxury Resort in Peruru Village, Tirupati, Andhra Pradesh, aimed at enhancing the regionâ€™s luxury hospitality offerings. The proposed project involves the construction of a world-class resort featuring premium accommodations, fine dining restaurants, recreational and wellness facilities, conference and banquet spaces, and other high-end amenities to cater to both leisure and business travelers visiting Tirupati. The resort is designed to provide an upscale hospitality experience while complementing the cultural and spiritual significance of the region. The total estimated investment for the project is Rs. 2,500 million, covering land development, building construction, interiors, utilities, and supporting infrastructure. As of December 2025, the Cabinet approved a land swap deal to relocate the project from TTD-owned land to an alternative site of approximately 20â€“25 acres, respecting religious sentiments and ensuring smooth project execution. Construction is set to commence soon, and once operational, the resort is expected to generate employment, boost tourism, and contribute to Tirupatiâ€™s hospitality sector growth.</t>
  </si>
  <si>
    <t>Oberoi Hotels &amp; Resorts 7, Sham Nath Marg</t>
  </si>
  <si>
    <t>011 - 69110606</t>
  </si>
  <si>
    <t>reservations@oberoigroup.com</t>
  </si>
  <si>
    <t>Mr.Yogesh Sharma - Senior Manager, Linkedin Id: https://www.linkedin.com/in/ysmoudgil/</t>
  </si>
  <si>
    <t>Mr.Suresh Jain - Purchase Manager, Linkedin Id: https://www.linkedin.com/in/suresh-jain-a03b19b9/</t>
  </si>
  <si>
    <t>0124-4128510</t>
  </si>
  <si>
    <t>Propel Industries Pvt Ltd</t>
  </si>
  <si>
    <t>Propel Industries' New Electric Vehicles Mfg. Plant</t>
  </si>
  <si>
    <t>Electric Vehicles</t>
  </si>
  <si>
    <t>Propel Industries is planning to set up a new Electric Vehicles manufacturing plant in Coimbatore, Tamil Nadu, marking a strategic diversification into the electric mobility segment while strengthening its existing industrial equipment business. The proposed project involves the manufacturing of electric trucks and tippers, with a strong focus on serving mining, construction, and infrastructure applications. The company plans to develop a dedicated EV manufacturing facility spread across 30 acres, designed to support vehicle assembly, testing, and allied infrastructure. The total investment for the project is estimated at Rs. 6,500 million. As of December 2025, Propel Industries has announced that the groundbreaking ceremony for the new EV plant is scheduled during Aprilâ€“May 2026, indicating progression toward the implementation phase. The facility will complement Propelâ€™s core expertise in manufacturing mining, crushing, and screening equipment, enabling the company to offer sustainable and technologically advanced mobility solutions. Once operational, the project is expected to boost local manufacturing, create employment opportunities, and contribute to Tamil Naduâ€™s growing electric vehicle ecosystem while supporting Indiaâ€™s transition toward cleaner transportation.</t>
  </si>
  <si>
    <t>SF.No: 38/1-B, Kangayampalayam, Trichy Road, Sulur</t>
  </si>
  <si>
    <t>99940 60001 / 099940 60002 / 095006 01666</t>
  </si>
  <si>
    <t>marketing@propelind.com</t>
  </si>
  <si>
    <t>Mr.V. Senthilkumar - Managing Director, Linkedin Id: https://www.linkedin.com/in/senthil-kumar-01bb5b26/</t>
  </si>
  <si>
    <t>Mr.Vignesh Moorthy - Assistant Manager, Linkedin Id: https://www.linkedin.com/in/vignesh-moorthy-8a89aa31b/?</t>
  </si>
  <si>
    <t>Raj Complex</t>
  </si>
  <si>
    <t>Raj Complex' Hotel Building Expansion Project</t>
  </si>
  <si>
    <t>Hotel (166 Rooms)</t>
  </si>
  <si>
    <t>Arazi No.-880/2, 883,882/2,Mauzaâ€“Aktha,Ward-Sarnath Pargana - Shivpur</t>
  </si>
  <si>
    <t>Raj Complex is planning to develop an upscale hotel project in Varanasi, Uttar Pradesh, aimed at enhancing the cityâ€™s hospitality offerings for both leisure and business travelers. The project involves the construction of a premium hotel featuring modern architectural design, well-appointed guest rooms, multiple dining options, conference and banquet facilities, and state-of-the-art amenities to provide a high-quality guest experience. The development is intended to position the hotel as a landmark destination in Varanasi, a city renowned for its cultural heritage and tourism appeal. The total estimated investment for the project is Rs. 1,360.567 million, covering civil construction, interior design, utilities, and supporting infrastructure. Construction activities are scheduled to commence in February 2026 and are expected to be completed by April 2026, ensuring timely commissioning. As of December 2025, the project proposal has been submitted to the State Level Environment Impact Assessment Authority (SEIAA) for environmental clearance, reflecting a commitment to sustainable and environmentally responsible development. Once operational, the hotel is expected to generate employment and contribute to Varanasiâ€™s tourism and hospitality sector.</t>
  </si>
  <si>
    <t>S.3/75, Orderly Bazar</t>
  </si>
  <si>
    <t>099367 96266</t>
  </si>
  <si>
    <t>rajhotel.varanasi@gmail.com</t>
  </si>
  <si>
    <t>Mr.Vishal Singh - Partner, 095650 00001, md@rajindiaauto.com</t>
  </si>
  <si>
    <t>Mr.Anuj Kumar - Purchase Manager, Linkedin Id: https://www.linkedin.com/in/anuj-kumar-abbb921ba/</t>
  </si>
  <si>
    <t>Sanghi Industries Ltd</t>
  </si>
  <si>
    <t>Sanghi Industries's Expansion of Port Project</t>
  </si>
  <si>
    <t>Sanghi Port</t>
  </si>
  <si>
    <t>Lakhpat</t>
  </si>
  <si>
    <t>Sanghi Industries, a prominent player in the cement and infrastructure sectors, is set to strengthen its strategic presence in Gujarat through a major development project at Sanghi Port, Lakhpat, Kachchh. The project, with an estimated investment of Rs. 35,580 million, focuses on expanding the portâ€™s capacity to handle multipurpose cargo up to 25 million tonnes per annum (MMTPA), thereby enhancing regional logistics and shipping capabilities. The expansion will include the construction of multipurpose berths with a total quay length of 1,451 meters, incorporating the existing 203.8-meter berth, and equipped to efficiently manage a diverse range of cargo types. Construction activities are scheduled to commence in April 2027, with project completion expected by December 2029. Initially submitted to the Ministry of Environment, Forest and Climate Change of India in November 2024, the project is also under review by the State Level Environment Impact Assessment Authority (SEIAA) as of December 2025, reflecting Sanghi Industriesâ€™ commitment to sustainable development and regulatory compliance in its port expansion initiative.</t>
  </si>
  <si>
    <t>Adani Corporate House, 5th Floor, North Block, Shantigram, Nr. Vaishnodevi Circle</t>
  </si>
  <si>
    <t>08 4152 42217 / 079 - 26565555</t>
  </si>
  <si>
    <t>gaurang.bhatt@adani.com</t>
  </si>
  <si>
    <t>Mr.Gaurang J Bhatt - Senior Vice President</t>
  </si>
  <si>
    <t>Siddhichem Industries</t>
  </si>
  <si>
    <t>Siddhichem Industries' Synthetic Organic Chemicals Mfg. Unit Expansion Project</t>
  </si>
  <si>
    <t>Synthetic Organic Chemicals (17.45 MT/Month to 40.5 MT/Month)</t>
  </si>
  <si>
    <t>GIDC Saykha, Taluka: Vagra</t>
  </si>
  <si>
    <t>Siddhichem Industries is planning to undertake a synthetic organic chemicals manufacturing unit expansion project at GIDC Saykha, Taluka Vagra, Bharuch district, Gujarat, with the objective of enhancing its production capacity in dyes and dyes intermediates. The proposed expansion involves increasing the manufacturing capacity from 17.45 metric tonnes per month to 40.5 metric tonnes per month, enabling the company to meet rising demand from textile, leather, and allied industries while strengthening its market presence. The total estimated investment for the project is Rs. 197 million, which will be utilized for civil construction, installation of additional plant and machinery, utility upgrades, and pollution control systems. The company plans to commence construction activities in April 2026 and complete them by September 2026. As of December 2025, the project proposal has been submitted to the State Level Environment Impact Assessment Authority (SEIAA) for obtaining environmental clearance. Upon completion, the expansion is expected to improve production efficiency and contribute to the growth of the chemical manufacturing ecosystem in the Saykha GIDC industrial area.</t>
  </si>
  <si>
    <t>601, D Square, Dadabhai Road, Vile Parle (W)</t>
  </si>
  <si>
    <t>099673 06807 / 087889 83481</t>
  </si>
  <si>
    <t>info@siddhichem.com</t>
  </si>
  <si>
    <t>Mr.Adit Kirit Thakkar - Director, 098909 20869</t>
  </si>
  <si>
    <t>Simta Group</t>
  </si>
  <si>
    <t>Simta Group's Textile Machinery Accessories Mfg. Expansion Project</t>
  </si>
  <si>
    <t>Textile Machinery Accessories</t>
  </si>
  <si>
    <t>Simta Group is planning to undertake a Textile Machinery Accessories Manufacturing Expansion Project in Coimbatore, Tamil Nadu, aimed at strengthening its capabilities in textile machinery accessories and automation solutions. The proposed project involves expanding the existing manufacturing capacity to meet rising demand from the domestic and export-oriented textile industry. The expansion will focus on advanced and automated production systems to enhance efficiency, precision, and product quality. The total estimated investment for the project is Rs. 400 million. As of January 2026, Simta Group has signed a Memorandum of Understanding (MoU) with the Tamil Nadu state government, marking a key milestone toward project implementation. The expansion is expected to support the growth of the regional textile machinery ecosystem, generate skilled employment opportunities, and reinforce Coimbatoreâ€™s position as a major hub for textile engineering and manufacturing in India.</t>
  </si>
  <si>
    <t>S.F.No 683 A, Railway Feeder Road, Ravathur Post, Sulur Via</t>
  </si>
  <si>
    <t>098422 30335 / 0422 - 2680705 / 2681705</t>
  </si>
  <si>
    <t>info@simta.com / sales@simta.com / simta@simta.com</t>
  </si>
  <si>
    <t>Mr.S. Senthil Kumar - Director, Linkedin Id:https://www.linkedin.com/in/senthilkumar-a8b3a3a1/</t>
  </si>
  <si>
    <t>Skipper Seil Ltd</t>
  </si>
  <si>
    <t>Skipper Seil's New Industrial Shed Construction Project</t>
  </si>
  <si>
    <t>Industrial Shed</t>
  </si>
  <si>
    <t>Kharani, Tijara</t>
  </si>
  <si>
    <t>Alwar</t>
  </si>
  <si>
    <t>Skipper Seil is planning to undertake a new Industrial Shed Construction Project in Kharani, Tijara, Alwar district, Rajasthan, aimed at strengthening the regionâ€™s industrial infrastructure and supporting manufacturing and logistics activities. The proposed project involves the construction of a modern industrial shed equipped with essential utilities, storage facilities, loading/unloading zones, and supporting infrastructure to accommodate large-scale industrial operations efficiently. The facility is expected to enhance operational capacity and provide a platform for businesses in the region to scale their manufacturing and warehousing activities. The total estimated investment for the project is Rs. 1,700 million, which will be utilized for civil construction, structural works, utilities, and other project-related infrastructure. The company plans to commence construction in March 2026 and complete it by March 2029, ensuring a phased and structured development approach. As of December 2025, the project proposal has been submitted to the State Level Environment Impact Assessment Authority (SEIAA) for environmental clearance, highlighting the commitment to adhering to environmental regulations. Once operational, the industrial shed is expected to generate employment and contribute to the industrial growth of Alwar district.</t>
  </si>
  <si>
    <t>111 First Floor SAS Tower BE Medicity Support Area Sector 38</t>
  </si>
  <si>
    <t>Gurgaon</t>
  </si>
  <si>
    <t>Mr.Satyam Vijay - satyam.vijay@skipperseil.com, 089557 13235, Deputy Manager Legal and Compliance</t>
  </si>
  <si>
    <t>Mr.Jitender Sachdeva - Chairman, Linkedin Id: https://www.linkedin.com/in/jitender-sachdeva-aab2a02b/</t>
  </si>
  <si>
    <t>Srichakra Polyplast India Pvt Ltd</t>
  </si>
  <si>
    <t>Srichakra Polyplast's New Plastic Recycling &amp; Advanced Polymer Mfg. Unit</t>
  </si>
  <si>
    <t>Plastic Recycling &amp; Advanced Polymer</t>
  </si>
  <si>
    <t>SIPCOT Industrial Park, Bargur</t>
  </si>
  <si>
    <t>Krishnagiri</t>
  </si>
  <si>
    <t>Srichakra Polyplast is planning to establish a new Plastic Recycling and Advanced Polymer Manufacturing Unit at the SIPCOT Industrial Park, Bargur, in Krishnagiri District, Tamil Nadu. The project aims to produce high-quality recycled plastics and advanced polymer products to meet the increasing demand for sustainable materials in multiple industrial sectors. The total estimated investment for the project is Rs. 1,960 million, which will be utilized for site development, procurement and installation of modern machinery, and implementation of environmental management and safety systems. As of December 2025, the project is in the approved/pre-implementation stage, with land allotment finalized and preparatory activities underway, including site development planning and machinery procurement. Once operational, the facility is expected to significantly enhance regional plastic recycling capacity, reduce plastic waste, and generate employment opportunities locally. The project underscores Srichakra Polyplastâ€™s commitment to sustainable industrial growth and circular economy initiatives in Tamil Nadu.</t>
  </si>
  <si>
    <t>Survey No: 355/A2,C,E, Indrakaran Village, Kandi Mandal</t>
  </si>
  <si>
    <t>Sangareddy</t>
  </si>
  <si>
    <t>040 - 69069069</t>
  </si>
  <si>
    <t>info@srichakra.in</t>
  </si>
  <si>
    <t>Mr.Rajasekhar Yar - Director, Linkedin Id: https://www.linkedin.com/in/rajasekhar-yar-0b067b198/</t>
  </si>
  <si>
    <t>Mr.Srinivas Chakravarthy P - Director , Linkedin Id: https://www.linkedin.com/in/schakravarthyp/</t>
  </si>
  <si>
    <t>State Industries Promotion Corporation of Tamilnadu Ltd</t>
  </si>
  <si>
    <t>SIPCOT's New Industrial Park Development Project</t>
  </si>
  <si>
    <t>State Government</t>
  </si>
  <si>
    <t>Industrial Park (325.215 hectares)</t>
  </si>
  <si>
    <t>Valayapatti, N. Pudupatti and Arur Villages of Mohanur Taluk</t>
  </si>
  <si>
    <t>Namakkal</t>
  </si>
  <si>
    <t>State Industries Promotion Corporation of Tamil Nadu (SIPCOT) is planning a major New Industrial Park Development Project in Valayapatti, N. Pudupatti, and Arur Villages of Mohanur Taluka, Namakkal District, Tamil Nadu. The project envisages the development of a modern industrial park spanning approximately 325.215 hectares (803.281 acres), aimed at promoting industrial growth, attracting investment, and generating employment opportunities in the region. The proposed facilities will include well-planned plots, internal roads, drainage systems, utilities, and common infrastructure to support a variety of industrial units. The total estimated investment for this development is Rs. 5,553.7 million. Construction activities are scheduled to commence in June 2026 and are expected to be completed by May 2028, ensuring timely operational readiness. As of December 2025, the project proposal has been submitted to the State Level Environment Impact Assessment Authority (SEIAA) for environmental clearance, reflecting SIPCOTâ€™s commitment to sustainable development, regulatory compliance, and creation of an eco-friendly industrial ecosystem in Namakkal.</t>
  </si>
  <si>
    <t>19-A, Rukmani Lakshmipathy Road, Egmore</t>
  </si>
  <si>
    <t>Chennai</t>
  </si>
  <si>
    <t>095660 61145 / 093840 94222 / 0462 - 2485100</t>
  </si>
  <si>
    <t>md@sipcot.in</t>
  </si>
  <si>
    <t>Dr.K. Senthil Raj - Managing Director, 044 - 45261770 / 45261771 / 45261777 / 45261796, md@sipcot.in</t>
  </si>
  <si>
    <t>Mr.Govindan Nainamalai - Chairman and Managing Director</t>
  </si>
  <si>
    <t>Sun Hydro Energy Pvt Ltd</t>
  </si>
  <si>
    <t>Sun Hydro Energy's New Gosaintari Pumped Storage Project</t>
  </si>
  <si>
    <t>Gosaintari Pumped Storage (920 MW)</t>
  </si>
  <si>
    <t>Gosaitari (Gosaintari) Village, Rajauli</t>
  </si>
  <si>
    <t>Nawada</t>
  </si>
  <si>
    <t>Sun Hydro Energy, a subsidiary/associate of Sun Petrochemicals Pvt. Ltd., is planning to develop a new Gosaintari Pumped Storage Project in Gosaintari Village, Rajauli, Nawada district, Bihar. The project involves the establishment of a pumped storage hydroelectric facility with an installed capacity of 920 MW, aimed at enhancing the regionâ€™s renewable energy capacity and supporting grid stability through energy storage and peak load management. Pumped storage projects are critical for balancing electricity supply and demand, integrating variable renewable energy sources, and ensuring reliable power for industrial, commercial, and residential consumers. The total estimated investment for the project is Rs. 55,254.3 million, which will be used for civil works, construction of reservoirs, underground powerhouses, turbines, generators, transmission infrastructure, and other associated facilities. As of December 2025, Sun Hydro Energy has signed a Memorandum of Understanding (MoU) with the Bihar state government, marking a key milestone for project implementation and collaboration. Once operational, the Gosaintari Pumped Storage Project is expected to significantly strengthen Biharâ€™s power infrastructure, promote renewable energy adoption, and generate employment opportunities in the region.</t>
  </si>
  <si>
    <t>8th, 9th &amp; 10th Floor, ATL Corporate Park, Saki Vihar Road, Powai</t>
  </si>
  <si>
    <t>022 - 69325300</t>
  </si>
  <si>
    <t>info@sunpetro.com</t>
  </si>
  <si>
    <t>Mr.Shiva Shankar - Purchase Manager, Linkedin Id: https://www.linkedin.com/in/shiva-shankar-694504176/</t>
  </si>
  <si>
    <t>Mr.Satyam Venkata - Purchase Manager, Linkedin Id: https://www.linkedin.com/in/satyam6969/</t>
  </si>
  <si>
    <t>desh.deepak@sunpetro.comprojectseniorofficer</t>
  </si>
  <si>
    <t>refer by kajal</t>
  </si>
  <si>
    <t>newly incorporated in 2025</t>
  </si>
  <si>
    <t>Syam Sel and Power Ltd</t>
  </si>
  <si>
    <t>Syam Sel and Power's New Integrated Steel/Power Unit</t>
  </si>
  <si>
    <t>Integrated Steel/Power Unit</t>
  </si>
  <si>
    <t>Pithampur</t>
  </si>
  <si>
    <t>Syam Sel and Power is planning to establish a new Integrated Steel and Power Unit in Indore, Madhya Pradesh, as part of its strategy to expand its industrial footprint and strengthen Indiaâ€™s domestic steel production capabilities. The proposed project involves setting up a fully integrated facility that combines steel manufacturing with captive power generation, ensuring a stable and efficient energy supply for plant operations. The total estimated investment for the project is Rs. 12,500 million, reflecting the companyâ€™s commitment to developing a modern, large-scale industrial complex. The facility is expected to incorporate advanced steel production technologies, enabling the manufacture of high-quality steel products for both domestic and industrial markets. As of December 2025, Syam Sel and Power has received land allotment, marking a significant milestone toward project implementation and site preparation. Once operational, the integrated unit is expected to enhance steel output, support energy self-sufficiency, create direct and indirect employment opportunities, and contribute to the industrial development and economic growth of Indore and the wider region, while aligning with sustainable industrial practices.</t>
  </si>
  <si>
    <t>Plot No-164-C,Industrial Area, Pithampur, Sector-3 Dhampur Industrial Area</t>
  </si>
  <si>
    <t>033 - 401110000 / 40175000</t>
  </si>
  <si>
    <t>abhishek.goyal@shyammetalics.com / contact@shyamgroup.com</t>
  </si>
  <si>
    <t>Mr.Brij Bhushan Agarwal - Managing Director, Linkedin Id: https://www.linkedin.com/in/brij-bhushan-agarwal-95539b254/</t>
  </si>
  <si>
    <t>Mr.Ajay Choudhury - Director</t>
  </si>
  <si>
    <t>Valeshvar Bio Tech Pvt Ltd</t>
  </si>
  <si>
    <t>Valeshvar Bio Tech's API and API Intermediates Mfg. Expansion Project</t>
  </si>
  <si>
    <t>API and API Intermediates (130 MT/Month to 627 MT/Month)</t>
  </si>
  <si>
    <t>GIDC Industrial Estate - Panoli</t>
  </si>
  <si>
    <t>Valeshvar Bio Tech is planning a significant Expansion Project for the manufacturing of Active Pharmaceutical Ingredients (API) and API Intermediates at its existing facility in the GIDC Industrial Estate, Panoli, Bharuch, Gujarat. The project involves enhancing the production capacity of APIs and API intermediates from 130 MT per month to 627 MT per month, along with the acquisition and development of an additional plot to accommodate the expanded operations. The total estimated investment for the expansion is Rs. 100 million, which will cover construction, installation of advanced machinery, and implementation of modern safety and environmental management systems. Construction activities are scheduled to begin in July 2026 and are expected to be completed by March 2027, ensuring the timely operationalization of the upgraded facility. As of December 2025, the project has been submitted to the State Level Environment Impact Assessment Authority (SEIAA) for obtaining the necessary environmental clearance, reflecting Valeshvar Bio Techâ€™s commitment to sustainable growth and regulatory compliance in the pharmaceutical sector.</t>
  </si>
  <si>
    <t>Plot No. 3304,3305, 3306, GIDC Panoli</t>
  </si>
  <si>
    <t>096625 26605 / 02642 - 2460854</t>
  </si>
  <si>
    <t>valeshvarbiotech@gmail.com / info@valeshvarbiotech.com</t>
  </si>
  <si>
    <t>Mr.Jayeshkumar N Pidhadiya - Director, 099798 64728</t>
  </si>
  <si>
    <t>Mr.Maheshbhai D Kumbhani - Director</t>
  </si>
  <si>
    <t>project not available</t>
  </si>
  <si>
    <t>VSL Green Power Pvt Ltd</t>
  </si>
  <si>
    <t>Vsl Green Power' New Solar PV Module Mfg. and Assembling Plant</t>
  </si>
  <si>
    <t>Solar PV Module Mfg. and Assembling Plant (125495.56 sqmtr)</t>
  </si>
  <si>
    <t>Plot Noâ€™s : A5, A6, A7 &amp; A10, Survey. Noâ€™s : 1724 Pt, 1851 Pt, Gangaikondan</t>
  </si>
  <si>
    <t>Tirunelveli</t>
  </si>
  <si>
    <t>VSL Green Power is set to establish a state-of-the-art solar photovoltaic (PV) cell and module manufacturing facility at Gangaikondan in Tirunelveli district, Tamil Nadu, reinforcing its presence in Indiaâ€™s rapidly growing renewable energy manufacturing sector. The project involves development of a large-scale manufacturing plant spread over 125,495.56 square metres, dedicated to the production and assembly of high-efficiency solar PV cells and modules for domestic consumption as well as export markets. The initial phase of the project was planned with an investment of Rs. 12,601.4 million, with construction scheduled from January 2025 to January 2027, and the proposal was pending environmental clearance from the State Level Environment Impact Assessment Authority (SEIAA) as of September 2024. As of December 2025, the project scope has been expanded to include additional solar PV cell and module manufacturing capacities, taking the total investment to Rs. 20,338 million. Construction for the expanded phase is proposed to commence in February 2026 and conclude by January 2027. The revised proposal has been submitted to SEIAA for environmental clearance. Once operational, the facility is expected to support Indiaâ€™s solar manufacturing ecosystem, reduce import dependence, and generate significant employment opportunities in the region.</t>
  </si>
  <si>
    <t>Biowonder, 11th Floor, Unit No 1102, 789, Anandapur Main Road Township</t>
  </si>
  <si>
    <t>090739 54560 / 098106 10294</t>
  </si>
  <si>
    <t>info@vslrepower.com / ashwini.agarwal@vikramsolar.com</t>
  </si>
  <si>
    <t>Mr.Ashwini Agarwal - Director</t>
  </si>
  <si>
    <t>Mr.Krishna Kumar Maskara - Director</t>
  </si>
  <si>
    <t>Mr.Dhirendar Pal Singh - Executive Engineer , 09794 844287</t>
  </si>
  <si>
    <t>Mr.Sanjeew Kumar Singh - Senior Manager - Environment, 099798 56023</t>
  </si>
  <si>
    <t>Indian Company</t>
  </si>
  <si>
    <t>CHA Name</t>
  </si>
  <si>
    <t>Foreign Company</t>
  </si>
  <si>
    <t>Foreign Country</t>
  </si>
  <si>
    <t>Foreign Port</t>
  </si>
  <si>
    <t>Import Type</t>
  </si>
  <si>
    <t>Indian Port</t>
  </si>
  <si>
    <t>Total</t>
  </si>
  <si>
    <t>A &amp; S CREATIONS</t>
  </si>
  <si>
    <t>J.M.D. CARGO PVT LTD</t>
  </si>
  <si>
    <t>504 POWER LIMITED COMPANY</t>
  </si>
  <si>
    <t>VIETNAM</t>
  </si>
  <si>
    <t>HO CHI MINH C</t>
  </si>
  <si>
    <t>AIR</t>
  </si>
  <si>
    <t>Delhi Air</t>
  </si>
  <si>
    <t>K S LOGISTICS</t>
  </si>
  <si>
    <t>Ho Chi Minh City</t>
  </si>
  <si>
    <t>SEA</t>
  </si>
  <si>
    <t>Delhi TKD ICD</t>
  </si>
  <si>
    <t>A A METAL MART</t>
  </si>
  <si>
    <t>ASIAN PREMIER LOGISTICS</t>
  </si>
  <si>
    <t>AL-DHIA AL-LAMA CO.</t>
  </si>
  <si>
    <t>SAUDI ARABIA</t>
  </si>
  <si>
    <t>Jeddah</t>
  </si>
  <si>
    <t>JNPT</t>
  </si>
  <si>
    <t>ASL DOS TRADING EST</t>
  </si>
  <si>
    <t>A AND J ENTERPRISES</t>
  </si>
  <si>
    <t>GLOBAL CARGO FORWARDERS</t>
  </si>
  <si>
    <t>MERCANTILE INTERNATIONAL NA LLC</t>
  </si>
  <si>
    <t>UNITED STATES</t>
  </si>
  <si>
    <t>NEW YORK</t>
  </si>
  <si>
    <t>A B CASTING</t>
  </si>
  <si>
    <t>MASKATI SHIPPING &amp; LOGISTICS PVT. LTD.</t>
  </si>
  <si>
    <t>RS-RECYCLING GMBH.</t>
  </si>
  <si>
    <t>GERMANY</t>
  </si>
  <si>
    <t>Rotterdam</t>
  </si>
  <si>
    <t>CONCOR ICD MIHAN</t>
  </si>
  <si>
    <t>NETHERLANDS</t>
  </si>
  <si>
    <t>B B ENGINEERING WORKS</t>
  </si>
  <si>
    <t>CHAUDHARY ASSOCIATES</t>
  </si>
  <si>
    <t>BHUTAN HARDWARE AGENCY</t>
  </si>
  <si>
    <t>BHUTAN</t>
  </si>
  <si>
    <t>Phuntsholing</t>
  </si>
  <si>
    <t>Jaigaon</t>
  </si>
  <si>
    <t>SL ENTERPRISE</t>
  </si>
  <si>
    <t>B E ASIA PRIVATE LIMITED</t>
  </si>
  <si>
    <t>M/S. AJAY CLEARIING ENTERPRISE</t>
  </si>
  <si>
    <t>GE POWER NEW ZEALAND LIMITED</t>
  </si>
  <si>
    <t>NEW ZEALAND</t>
  </si>
  <si>
    <t>CHRISTCHURCH</t>
  </si>
  <si>
    <t>Ahmedabad Air</t>
  </si>
  <si>
    <t>NIKHIL CLEARING &amp; FORWARDING PVT LTD</t>
  </si>
  <si>
    <t>UTE WTW CHIRA SORIA</t>
  </si>
  <si>
    <t>SPAIN</t>
  </si>
  <si>
    <t>Las Palmas</t>
  </si>
  <si>
    <t>S.M.ENTERPRISE</t>
  </si>
  <si>
    <t>GE ENERGLAS RENOVAVELS LTDA</t>
  </si>
  <si>
    <t>BRAZIL</t>
  </si>
  <si>
    <t>S J CAMPOS, SP</t>
  </si>
  <si>
    <t>B FOURESS PRIVATE LIMITED</t>
  </si>
  <si>
    <t>DIBRUPA ENTERPRISE</t>
  </si>
  <si>
    <t>SONA KHOLA HYDROPOWER PROJECT</t>
  </si>
  <si>
    <t>NEPAL</t>
  </si>
  <si>
    <t>Biratnagar</t>
  </si>
  <si>
    <t>Jogbani</t>
  </si>
  <si>
    <t>PEARL LOGISTICS</t>
  </si>
  <si>
    <t>BA VI POWER INVESTMENT JOINT STOCK</t>
  </si>
  <si>
    <t>Da Nang</t>
  </si>
  <si>
    <t>Madras Sea</t>
  </si>
  <si>
    <t>BATO ENERGY INVESTMENT</t>
  </si>
  <si>
    <t>ULTRA COMMERCIAL &amp; CO.</t>
  </si>
  <si>
    <t>UPPER JUNBESI KHOLA HYDROPOWER</t>
  </si>
  <si>
    <t>Kathmandu</t>
  </si>
  <si>
    <t>Raxaul</t>
  </si>
  <si>
    <t>VS TRANS LOJISTIK PRIVATE LIMITED</t>
  </si>
  <si>
    <t>TIEN ANH CONSTRUCTION AND TRADING</t>
  </si>
  <si>
    <t>Haiphong</t>
  </si>
  <si>
    <t>C B ENTERPRISE</t>
  </si>
  <si>
    <t>AVASHYA IMPEX PRIVATE LIMITED</t>
  </si>
  <si>
    <t>ANITA JEWELLERS PTE LTD</t>
  </si>
  <si>
    <t>FIJI</t>
  </si>
  <si>
    <t>SUVA</t>
  </si>
  <si>
    <t>SHANTI CLEARING AND FORWARDING AGENCY</t>
  </si>
  <si>
    <t>GOHIL EMPORIUM.</t>
  </si>
  <si>
    <t>UNITED KINGDOM</t>
  </si>
  <si>
    <t>BIRMINGHAM</t>
  </si>
  <si>
    <t>C FAST AGENCIES</t>
  </si>
  <si>
    <t>UNIQUE SPEDITORER PRIVATE LIMITED</t>
  </si>
  <si>
    <t>METYZ KAPITAL LTD</t>
  </si>
  <si>
    <t>POLAND</t>
  </si>
  <si>
    <t>Ternopol</t>
  </si>
  <si>
    <t>Mundra</t>
  </si>
  <si>
    <t>C L GUPTA EXPORTS LIMITED</t>
  </si>
  <si>
    <t>APSHAN LOGISTICS</t>
  </si>
  <si>
    <t>WILLIAMS SONOMA SINGAPORE PTE LTD</t>
  </si>
  <si>
    <t>ZARA HOME ESPANA, S.A</t>
  </si>
  <si>
    <t>VALERA</t>
  </si>
  <si>
    <t>DSV AIR AND SEA PVT LTD</t>
  </si>
  <si>
    <t>ZARAGOZA</t>
  </si>
  <si>
    <t>EMM GEE SHIPPING SERVICES</t>
  </si>
  <si>
    <t>064-DT-1</t>
  </si>
  <si>
    <t>DORTMUND</t>
  </si>
  <si>
    <t>Pakwara-Moradabad</t>
  </si>
  <si>
    <t>CLAS OHLSON AB (PUBL)</t>
  </si>
  <si>
    <t>SWEDEN</t>
  </si>
  <si>
    <t>GOTHENBURG</t>
  </si>
  <si>
    <t>COSTCO WHOLESALE AUSTRALIA PTY LTD.</t>
  </si>
  <si>
    <t>AUSTRALIA</t>
  </si>
  <si>
    <t>SYDNEY</t>
  </si>
  <si>
    <t>COSTCO WHOLESALE SPAIN S.L.U</t>
  </si>
  <si>
    <t>Valencia</t>
  </si>
  <si>
    <t>COSTCO WHOLESALE UK LTD</t>
  </si>
  <si>
    <t>LONDON GATWAY PORT</t>
  </si>
  <si>
    <t>Dadri-CGML</t>
  </si>
  <si>
    <t>DUNELM (SOFT FURNISHINGS) LTD.</t>
  </si>
  <si>
    <t>Newark</t>
  </si>
  <si>
    <t>Oakland</t>
  </si>
  <si>
    <t>WILLIAMS SONOMA SINGAPORE PTE. LTD.</t>
  </si>
  <si>
    <t>GURBINDER SINGH &amp; CO.</t>
  </si>
  <si>
    <t>TARGET</t>
  </si>
  <si>
    <t>Norfolk</t>
  </si>
  <si>
    <t>SANDKHERA ICD /KASHIPUR</t>
  </si>
  <si>
    <t>TARGET.</t>
  </si>
  <si>
    <t>WOHNMANUFACTUR GRUNBERGER S.R.O.</t>
  </si>
  <si>
    <t>Hamburg</t>
  </si>
  <si>
    <t>HAH INTL SHIPPING PVT LTD</t>
  </si>
  <si>
    <t>CAMINO BAJO DE LA PETISA</t>
  </si>
  <si>
    <t>URUGUAY</t>
  </si>
  <si>
    <t>Tanjong Pelepas</t>
  </si>
  <si>
    <t>H &amp; M HENNES &amp; MAURITZ  GBC AB</t>
  </si>
  <si>
    <t>SOUTH AFRICA</t>
  </si>
  <si>
    <t>Durban</t>
  </si>
  <si>
    <t>H &amp; M HENNES &amp; MAURITZ GBC AB</t>
  </si>
  <si>
    <t>SWITZERLAND</t>
  </si>
  <si>
    <t>H &amp; M HENNES &amp; MAURITZ LOGISTICS</t>
  </si>
  <si>
    <t>BELGIUM</t>
  </si>
  <si>
    <t>Antwerpen</t>
  </si>
  <si>
    <t>H &amp; M HENNES &amp; MAURITZ S.A.C. AV.</t>
  </si>
  <si>
    <t>PERU</t>
  </si>
  <si>
    <t>Callao</t>
  </si>
  <si>
    <t>H &amp; M HENNES MAURITZ (SHANGHAI)</t>
  </si>
  <si>
    <t>CHINA</t>
  </si>
  <si>
    <t>Shanghai</t>
  </si>
  <si>
    <t>H &amp; M RETAIL SDN BHD</t>
  </si>
  <si>
    <t>MALAYSIA</t>
  </si>
  <si>
    <t>Port Kelang</t>
  </si>
  <si>
    <t>H&amp;M HENNES &amp; MAURITZ</t>
  </si>
  <si>
    <t>H&amp;M HENNES &amp; MAURITZ CUSTOMER</t>
  </si>
  <si>
    <t>H&amp;M HENNES &amp; MAURITZ D.O.O</t>
  </si>
  <si>
    <t>SERBIA</t>
  </si>
  <si>
    <t>H&amp;M HENNES &amp; MAURITZ EC S.A.S.,</t>
  </si>
  <si>
    <t>ECUADOR</t>
  </si>
  <si>
    <t>H&amp;M HENNES &amp; MAURITZ GBC AB</t>
  </si>
  <si>
    <t>ITALY</t>
  </si>
  <si>
    <t>Genoa</t>
  </si>
  <si>
    <t>JAPAN</t>
  </si>
  <si>
    <t>TOKYO</t>
  </si>
  <si>
    <t>H&amp;M HENNES &amp; MAURITZ GBC AB C/O GXO</t>
  </si>
  <si>
    <t>H&amp;M HENNES &amp; MAURITZ GBC AB SVISTA</t>
  </si>
  <si>
    <t>H&amp;M HENNES &amp; MAURITZ GBC C/O</t>
  </si>
  <si>
    <t>Felixstowe</t>
  </si>
  <si>
    <t>H&amp;M HENNES &amp; MAURITZ INC</t>
  </si>
  <si>
    <t>CANADA</t>
  </si>
  <si>
    <t>Toronto</t>
  </si>
  <si>
    <t>H&amp;M HENNES &amp; MAURITZ INC,</t>
  </si>
  <si>
    <t>H&amp;M HENNES &amp; MAURITZ INC, 210</t>
  </si>
  <si>
    <t>H&amp;M HENNES &amp; MAURITZ INC.</t>
  </si>
  <si>
    <t>PHILIPPINES</t>
  </si>
  <si>
    <t>Manila</t>
  </si>
  <si>
    <t>H&amp;M HENNES &amp; MAURITZ LOGISTIC</t>
  </si>
  <si>
    <t>H&amp;M HENNES &amp; MAURITZ LOGISTIC SP</t>
  </si>
  <si>
    <t>Gdynia</t>
  </si>
  <si>
    <t>H&amp;M HENNES &amp; MAURITZ LOGISTICS</t>
  </si>
  <si>
    <t>H&amp;M HENNES &amp; MAURITZ LP,</t>
  </si>
  <si>
    <t>Indianapolis</t>
  </si>
  <si>
    <t>H&amp;M HENNES &amp; MAURITZ LP, 300</t>
  </si>
  <si>
    <t>H&amp;M HENNES &amp; MAURITZ LTD 15F</t>
  </si>
  <si>
    <t>REPUBLIC OF KOREA</t>
  </si>
  <si>
    <t>Busan(Korea)</t>
  </si>
  <si>
    <t>H&amp;M HENNES &amp; MAURITZ LTD 15F,</t>
  </si>
  <si>
    <t>H&amp;M HENNES &amp; MAURITZ LTD.</t>
  </si>
  <si>
    <t>H&amp;M HENNES &amp; MAURITZ LTD. C/O</t>
  </si>
  <si>
    <t>H&amp;M HENNES &amp; MAURITZ NETHERLANDS</t>
  </si>
  <si>
    <t>TAIWAN</t>
  </si>
  <si>
    <t>H&amp;M HENNES &amp; MAURITZ NETHERLANDS.</t>
  </si>
  <si>
    <t>H&amp;M HENNES &amp; MAURITZ PTY LTD</t>
  </si>
  <si>
    <t>H&amp;M HENNES &amp; MAURITZ S.L.</t>
  </si>
  <si>
    <t>H&amp;M HENNES &amp; MAURITZ SERVICIOS</t>
  </si>
  <si>
    <t>MEXICO</t>
  </si>
  <si>
    <t>Veracruz</t>
  </si>
  <si>
    <t>H&amp;M HENNES &amp; MAURITZ SERVICIOS SA</t>
  </si>
  <si>
    <t>H&amp;M HENNES &amp; MAURITZ SPA AV.</t>
  </si>
  <si>
    <t>CHILE</t>
  </si>
  <si>
    <t>Valparaiso</t>
  </si>
  <si>
    <t>H&amp;M HENNES &amp; MAURITZ TEKSTIL LTD.</t>
  </si>
  <si>
    <t>TURKEY</t>
  </si>
  <si>
    <t>ISTANBUL</t>
  </si>
  <si>
    <t>H&amp;M HENNES&amp;MAURITZ LOGISTIK</t>
  </si>
  <si>
    <t>Ashdod</t>
  </si>
  <si>
    <t>H&amp;MHENNES&amp;MAURITZ BRAZIL</t>
  </si>
  <si>
    <t>HOLA MODA S.A.,</t>
  </si>
  <si>
    <t>PANAMA</t>
  </si>
  <si>
    <t>HTHAI (THAILAND) CO LTD</t>
  </si>
  <si>
    <t>THAILAND</t>
  </si>
  <si>
    <t>BANGKOK</t>
  </si>
  <si>
    <t>LOGIX FZCO</t>
  </si>
  <si>
    <t>UNITED ARAB EMIRATES</t>
  </si>
  <si>
    <t>Jebel Ali</t>
  </si>
  <si>
    <t>PRIMARK LIMITED</t>
  </si>
  <si>
    <t>CZECH REPUBLIC</t>
  </si>
  <si>
    <t>Dadri-STTPL CFS</t>
  </si>
  <si>
    <t>IRELAND</t>
  </si>
  <si>
    <t>DUBLIN</t>
  </si>
  <si>
    <t>PRIMARK STORES LIMITED</t>
  </si>
  <si>
    <t>PRIMARK TIENDAS SLU</t>
  </si>
  <si>
    <t>IMPEX GLOBAL LOGISTICS PRIVATE LIMITED</t>
  </si>
  <si>
    <t>Piyala ICD</t>
  </si>
  <si>
    <t>WILLIAMS SONOMA SINGAPORE PTE LTD.</t>
  </si>
  <si>
    <t>WILLIAMS SONOMA SINGAPORE PTE. LTD</t>
  </si>
  <si>
    <t>Charleston</t>
  </si>
  <si>
    <t>Long Beach</t>
  </si>
  <si>
    <t>IMPEX LINKERS</t>
  </si>
  <si>
    <t>IKEA DISTR. DC3 PIACENZA (016)</t>
  </si>
  <si>
    <t>Dadri-ACPL CFS</t>
  </si>
  <si>
    <t>IKEA DISTRIBUTION SERVICES GMBH &amp;</t>
  </si>
  <si>
    <t>IKEA DISTRIBUTION SERVICES SHANGHAI</t>
  </si>
  <si>
    <t>IKEA SUPPLY (MALAYSIA) SDN. BHD</t>
  </si>
  <si>
    <t>IKEA SUPPLY (MIDDLE EAST) DWC</t>
  </si>
  <si>
    <t>Lazaro Cardenas</t>
  </si>
  <si>
    <t>JUST ON TIME LOGISTICS</t>
  </si>
  <si>
    <t>POTTERY BARN</t>
  </si>
  <si>
    <t>LOS ANGELES</t>
  </si>
  <si>
    <t>KODIAK CONTAINER LINES PVT LTD</t>
  </si>
  <si>
    <t>ZARA HOME ESPANA SA</t>
  </si>
  <si>
    <t>BARCELONA</t>
  </si>
  <si>
    <t>KRISHANA CLEARING &amp; FORWARDING AGENCY</t>
  </si>
  <si>
    <t>CINMAR</t>
  </si>
  <si>
    <t>CINCINNATI</t>
  </si>
  <si>
    <t>Algeciras</t>
  </si>
  <si>
    <t>N.G.PILLAI</t>
  </si>
  <si>
    <t>ZARA HOME ESPANA S.A</t>
  </si>
  <si>
    <t>MADRID</t>
  </si>
  <si>
    <t>N/A</t>
  </si>
  <si>
    <t>N?rnberg</t>
  </si>
  <si>
    <t>GENOVA</t>
  </si>
  <si>
    <t>PORT OF BUSAN</t>
  </si>
  <si>
    <t>G?TEBORG</t>
  </si>
  <si>
    <t>NULL</t>
  </si>
  <si>
    <t>SHRI BALAJI LOGISTICS</t>
  </si>
  <si>
    <t>PALWAL ICD/HARYANA</t>
  </si>
  <si>
    <t>Savannah</t>
  </si>
  <si>
    <t>SKYLINE AIRLOGISTICS LTD</t>
  </si>
  <si>
    <t>CAMERON INGERSOLL</t>
  </si>
  <si>
    <t>GAIA MIN</t>
  </si>
  <si>
    <t>JOSH HONG</t>
  </si>
  <si>
    <t>SAN FRANCISCO, CA</t>
  </si>
  <si>
    <t>KATIE MILLHAM</t>
  </si>
  <si>
    <t>WILLIAMS SONOMA INC</t>
  </si>
  <si>
    <t>ZARA HOME EDIFICIO INIDITEX</t>
  </si>
  <si>
    <t>TRANSGLOBAL LOGISTICS,</t>
  </si>
  <si>
    <t>WILLIAMS-SONOMA SINGAPORE PTE LTD</t>
  </si>
  <si>
    <t>LONDON - HEATHROW</t>
  </si>
  <si>
    <t>VARDHMAN CUSTOM CLEARING &amp; FORWARDING AGENTS</t>
  </si>
  <si>
    <t>Sum of Total</t>
  </si>
  <si>
    <t>A &amp; S CREATIONS Total</t>
  </si>
  <si>
    <t>A A METAL MART Total</t>
  </si>
  <si>
    <t>A AND J ENTERPRISES Total</t>
  </si>
  <si>
    <t>A B CASTING Total</t>
  </si>
  <si>
    <t>B B ENGINEERING WORKS Total</t>
  </si>
  <si>
    <t>B E ASIA PRIVATE LIMITED Total</t>
  </si>
  <si>
    <t>B FOURESS PRIVATE LIMITED Total</t>
  </si>
  <si>
    <t>C B ENTERPRISE Total</t>
  </si>
  <si>
    <t>C FAST AGENCIES Total</t>
  </si>
  <si>
    <t>C L GUPTA EXPORTS LIMITED Total</t>
  </si>
  <si>
    <t>Grand Total</t>
  </si>
  <si>
    <t>date</t>
  </si>
  <si>
    <t>16/4/2026</t>
  </si>
  <si>
    <t>17/4/2026</t>
  </si>
  <si>
    <t>20/4/2026</t>
  </si>
  <si>
    <t>21/4/2026</t>
  </si>
  <si>
    <t>22/4/2026</t>
  </si>
  <si>
    <t>27/4/2026</t>
  </si>
  <si>
    <t>30/04/2026</t>
  </si>
  <si>
    <t>13/5/2026</t>
  </si>
  <si>
    <t>14/5/2026</t>
  </si>
  <si>
    <t>15/5/2026</t>
  </si>
  <si>
    <t>18/5/2026</t>
  </si>
  <si>
    <t>19/5/2026</t>
  </si>
  <si>
    <t>20/5/2026</t>
  </si>
  <si>
    <t>21/5/2026</t>
  </si>
  <si>
    <t>22/5/2026</t>
  </si>
  <si>
    <t>24/5/2026</t>
  </si>
  <si>
    <t>25/5/2026</t>
  </si>
  <si>
    <t>26/5/2026</t>
  </si>
  <si>
    <t>28/5/2026</t>
  </si>
  <si>
    <t>29/5/2026</t>
  </si>
  <si>
    <t>total calls made/Day</t>
  </si>
  <si>
    <t>Basic understanding of procam and our role in it</t>
  </si>
  <si>
    <t xml:space="preserve">Got an understanding of steel vertical through case studies. </t>
  </si>
  <si>
    <t>Understanding of new file and finding contact details</t>
  </si>
  <si>
    <t>Got brief about proconnect and changed calling strategy to cold emails</t>
  </si>
  <si>
    <t>drafted and sent cold emails</t>
  </si>
  <si>
    <t>Sent cold emails</t>
  </si>
  <si>
    <t>call response received</t>
  </si>
  <si>
    <t>.</t>
  </si>
  <si>
    <t>company profile sent</t>
  </si>
  <si>
    <t>Meeting Set</t>
  </si>
  <si>
    <t>Follow up calls</t>
  </si>
  <si>
    <t>total calls made</t>
  </si>
  <si>
    <t xml:space="preserve">total meetings </t>
  </si>
  <si>
    <t>profile sent</t>
  </si>
  <si>
    <t>call respose</t>
  </si>
  <si>
    <t>COMPANY NAME</t>
  </si>
  <si>
    <t>REASON FOR REJECTION</t>
  </si>
  <si>
    <t>Our Solution</t>
  </si>
  <si>
    <t>didn't get the right contact details 
and most of them didn't respond</t>
  </si>
  <si>
    <t>try vendor registration</t>
  </si>
  <si>
    <t>need to find the right person, tried dfft. person from the company</t>
  </si>
  <si>
    <t>sent the company profile did follow up but didn't revert back and did not answer calls</t>
  </si>
  <si>
    <t>follow up tomorrow</t>
  </si>
  <si>
    <t xml:space="preserve">can't find any contact details to call </t>
  </si>
  <si>
    <t xml:space="preserve">got the director contact but he sits in singapore </t>
  </si>
  <si>
    <t xml:space="preserve">could not get the concern party </t>
  </si>
  <si>
    <t xml:space="preserve">didn't get the right contact details </t>
  </si>
  <si>
    <t>tried to find using all social media and also used extension to find contact but could'nt find</t>
  </si>
  <si>
    <t>person name</t>
  </si>
  <si>
    <t>phone number</t>
  </si>
  <si>
    <t xml:space="preserve">occupation </t>
  </si>
  <si>
    <t>uday shukla</t>
  </si>
  <si>
    <t>+91 63757 02856</t>
  </si>
  <si>
    <t>intern</t>
  </si>
  <si>
    <t>customer care</t>
  </si>
  <si>
    <t>(407) 377-0246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</si>
</sst>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_);_(* \(#,##0\);_(* &quot;-&quot;??_);_(@_)"/>
  </numFmts>
  <fonts count="13" x14ac:knownFonts="1">
    <font>
      <sz val="11"/>
      <color theme="1"/>
      <name val="Aptos Narrow"/>
      <family val="2"/>
      <scheme val="minor"/>
    </font>
    <font>
      <b/>
      <sz val="11"/>
      <color theme="1"/>
      <name val="Aptos Narrow"/>
      <family val="2"/>
      <scheme val="minor"/>
    </font>
    <font>
      <sz val="11"/>
      <color rgb="FF000000"/>
      <name val="Calibri"/>
      <family val="2"/>
    </font>
    <font>
      <b/>
      <sz val="11"/>
      <color rgb="FF000000"/>
      <name val="Calibri"/>
      <family val="2"/>
    </font>
    <font>
      <b/>
      <sz val="11"/>
      <color rgb="FFFFFFFF"/>
      <name val="Calibri"/>
      <family val="2"/>
    </font>
    <font>
      <u/>
      <sz val="11"/>
      <color theme="10"/>
      <name val="Aptos Narrow"/>
      <family val="2"/>
      <scheme val="minor"/>
    </font>
    <font>
      <sz val="11"/>
      <color rgb="FF000000"/>
      <name val="Aptos Narrow"/>
      <family val="2"/>
    </font>
    <font>
      <sz val="11"/>
      <color rgb="FF242424"/>
      <name val="Aptos Narrow"/>
    </font>
    <font>
      <b/>
      <sz val="11"/>
      <color rgb="FF000000"/>
      <name val="Aptos Narrow"/>
      <family val="2"/>
    </font>
    <font>
      <sz val="11"/>
      <color rgb="FF000000"/>
      <name val="Aptos Narrow"/>
    </font>
    <font>
      <b/>
      <sz val="11"/>
      <color theme="0"/>
      <name val="Aptos Narrow"/>
      <family val="2"/>
      <scheme val="minor"/>
    </font>
    <font>
      <sz val="11"/>
      <color rgb="FFFFFFFF"/>
      <name val="PT Serif"/>
      <charset val="204"/>
    </font>
    <font>
      <sz val="11"/>
      <color rgb="FF9C0006"/>
      <name val="Calibri"/>
      <family val="2"/>
    </font>
  </fonts>
  <fills count="13">
    <fill>
      <patternFill patternType="none"/>
    </fill>
    <fill>
      <patternFill patternType="gray125"/>
    </fill>
    <fill>
      <patternFill patternType="solid">
        <fgColor rgb="FFFFFF00"/>
        <bgColor rgb="FF000000"/>
      </patternFill>
    </fill>
    <fill>
      <patternFill patternType="solid">
        <fgColor rgb="FFFF0000"/>
        <bgColor rgb="FF000000"/>
      </patternFill>
    </fill>
    <fill>
      <patternFill patternType="solid">
        <fgColor rgb="FFC00000"/>
        <bgColor rgb="FF000000"/>
      </patternFill>
    </fill>
    <fill>
      <patternFill patternType="solid">
        <fgColor rgb="FF94DCF8"/>
        <bgColor rgb="FF000000"/>
      </patternFill>
    </fill>
    <fill>
      <patternFill patternType="solid">
        <fgColor theme="4" tint="0.39997558519241921"/>
        <bgColor indexed="64"/>
      </patternFill>
    </fill>
    <fill>
      <patternFill patternType="solid">
        <fgColor theme="9"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rgb="FFB4C6E7"/>
        <bgColor rgb="FF000000"/>
      </patternFill>
    </fill>
    <fill>
      <patternFill patternType="solid">
        <fgColor rgb="FFFFC7CE"/>
        <bgColor rgb="FF000000"/>
      </patternFill>
    </fill>
    <fill>
      <patternFill patternType="solid">
        <fgColor theme="6" tint="0.59999389629810485"/>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bottom style="double">
        <color rgb="FF000000"/>
      </bottom>
      <diagonal/>
    </border>
    <border>
      <left style="thick">
        <color rgb="FFFF0000"/>
      </left>
      <right style="thin">
        <color rgb="FF000000"/>
      </right>
      <top style="thin">
        <color rgb="FF000000"/>
      </top>
      <bottom style="thin">
        <color rgb="FF000000"/>
      </bottom>
      <diagonal/>
    </border>
    <border>
      <left style="thick">
        <color rgb="FFFF0000"/>
      </left>
      <right/>
      <top/>
      <bottom/>
      <diagonal/>
    </border>
    <border>
      <left style="thick">
        <color rgb="FF000000"/>
      </left>
      <right style="thick">
        <color rgb="FF000000"/>
      </right>
      <top style="thick">
        <color rgb="FF000000"/>
      </top>
      <bottom/>
      <diagonal/>
    </border>
    <border>
      <left style="thin">
        <color rgb="FF000000"/>
      </left>
      <right/>
      <top/>
      <bottom/>
      <diagonal/>
    </border>
    <border>
      <left style="thin">
        <color rgb="FF000000"/>
      </left>
      <right/>
      <top/>
      <bottom style="thin">
        <color rgb="FF000000"/>
      </bottom>
      <diagonal/>
    </border>
    <border>
      <left style="thick">
        <color rgb="FF000000"/>
      </left>
      <right/>
      <top style="thick">
        <color rgb="FF000000"/>
      </top>
      <bottom/>
      <diagonal/>
    </border>
    <border>
      <left/>
      <right/>
      <top style="thin">
        <color rgb="FF000000"/>
      </top>
      <bottom/>
      <diagonal/>
    </border>
    <border>
      <left/>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5" fillId="0" borderId="0" applyNumberFormat="0" applyFill="0" applyBorder="0" applyAlignment="0" applyProtection="0"/>
  </cellStyleXfs>
  <cellXfs count="89">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left"/>
    </xf>
    <xf numFmtId="164" fontId="0" fillId="0" borderId="0" xfId="0" applyNumberFormat="1"/>
    <xf numFmtId="0" fontId="1" fillId="0" borderId="1" xfId="0" applyFont="1" applyBorder="1"/>
    <xf numFmtId="164" fontId="1" fillId="0" borderId="1" xfId="0" applyNumberFormat="1" applyFont="1" applyBorder="1"/>
    <xf numFmtId="0" fontId="0" fillId="0" borderId="1" xfId="0" applyBorder="1"/>
    <xf numFmtId="164" fontId="0" fillId="0" borderId="1" xfId="0" applyNumberFormat="1" applyBorder="1"/>
    <xf numFmtId="0" fontId="0" fillId="0" borderId="0" xfId="0" pivotButton="1"/>
    <xf numFmtId="0" fontId="2"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0" fillId="0" borderId="1" xfId="0" applyBorder="1" applyAlignment="1">
      <alignment horizontal="center" vertical="center" wrapText="1"/>
    </xf>
    <xf numFmtId="16" fontId="0" fillId="0" borderId="1" xfId="0" applyNumberFormat="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vertical="center" wrapText="1"/>
    </xf>
    <xf numFmtId="1" fontId="0" fillId="0" borderId="1" xfId="0" applyNumberFormat="1" applyBorder="1" applyAlignment="1">
      <alignment horizontal="center" vertical="center" wrapText="1"/>
    </xf>
    <xf numFmtId="0" fontId="0" fillId="0" borderId="1" xfId="0" applyBorder="1" applyAlignment="1">
      <alignment vertical="center"/>
    </xf>
    <xf numFmtId="0" fontId="5" fillId="0" borderId="1" xfId="1" applyBorder="1" applyAlignment="1">
      <alignment horizontal="center" vertical="center" wrapText="1"/>
    </xf>
    <xf numFmtId="0" fontId="0" fillId="0" borderId="0" xfId="0" applyAlignment="1">
      <alignment horizontal="center" vertical="center" wrapText="1"/>
    </xf>
    <xf numFmtId="0" fontId="7" fillId="0" borderId="1" xfId="0" applyFont="1" applyBorder="1" applyAlignment="1">
      <alignment horizontal="center" vertical="center" wrapText="1"/>
    </xf>
    <xf numFmtId="0" fontId="1" fillId="0" borderId="0" xfId="0" applyFont="1" applyAlignment="1">
      <alignment horizontal="center" vertical="center" wrapText="1"/>
    </xf>
    <xf numFmtId="0" fontId="10" fillId="6" borderId="1" xfId="0" applyFont="1" applyFill="1" applyBorder="1"/>
    <xf numFmtId="0" fontId="10" fillId="6" borderId="1" xfId="0" applyFont="1" applyFill="1" applyBorder="1" applyAlignment="1">
      <alignment horizont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3" fillId="2" borderId="6" xfId="0" applyFont="1" applyFill="1" applyBorder="1" applyAlignment="1">
      <alignment horizontal="center" vertical="center" wrapText="1"/>
    </xf>
    <xf numFmtId="0" fontId="0" fillId="0" borderId="6" xfId="0" applyBorder="1" applyAlignment="1">
      <alignment horizontal="center" vertical="center" wrapText="1"/>
    </xf>
    <xf numFmtId="0" fontId="0" fillId="0" borderId="7" xfId="0" applyBorder="1"/>
    <xf numFmtId="0" fontId="3" fillId="2" borderId="2" xfId="0" applyFont="1" applyFill="1" applyBorder="1" applyAlignment="1">
      <alignment horizontal="center" vertical="center" wrapText="1"/>
    </xf>
    <xf numFmtId="0" fontId="0" fillId="0" borderId="2" xfId="0" applyBorder="1" applyAlignment="1">
      <alignment horizontal="center" vertical="center" wrapText="1"/>
    </xf>
    <xf numFmtId="0" fontId="5" fillId="0" borderId="0" xfId="1"/>
    <xf numFmtId="0" fontId="11" fillId="0" borderId="0" xfId="0" applyFont="1"/>
    <xf numFmtId="0" fontId="0" fillId="7" borderId="2" xfId="0" applyFill="1" applyBorder="1" applyAlignment="1">
      <alignment horizontal="center" vertical="center" wrapText="1"/>
    </xf>
    <xf numFmtId="0" fontId="0" fillId="0" borderId="1" xfId="0" applyBorder="1" applyAlignment="1">
      <alignment wrapText="1"/>
    </xf>
    <xf numFmtId="0" fontId="8" fillId="5" borderId="1" xfId="0" applyFont="1" applyFill="1" applyBorder="1" applyAlignment="1">
      <alignment vertical="center"/>
    </xf>
    <xf numFmtId="14" fontId="8" fillId="5" borderId="1" xfId="0" applyNumberFormat="1" applyFont="1" applyFill="1" applyBorder="1" applyAlignment="1">
      <alignment vertical="center"/>
    </xf>
    <xf numFmtId="0" fontId="8" fillId="5" borderId="3" xfId="0" applyFont="1" applyFill="1" applyBorder="1" applyAlignment="1">
      <alignment vertical="center"/>
    </xf>
    <xf numFmtId="0" fontId="8" fillId="5" borderId="4" xfId="0" applyFont="1" applyFill="1" applyBorder="1" applyAlignment="1">
      <alignment vertical="center"/>
    </xf>
    <xf numFmtId="0" fontId="8" fillId="5" borderId="8" xfId="0" applyFont="1" applyFill="1" applyBorder="1" applyAlignment="1">
      <alignment vertical="center"/>
    </xf>
    <xf numFmtId="0" fontId="8" fillId="5" borderId="11" xfId="0" applyFont="1" applyFill="1" applyBorder="1" applyAlignment="1">
      <alignment vertical="center"/>
    </xf>
    <xf numFmtId="0" fontId="6" fillId="0" borderId="1" xfId="0" applyFont="1" applyBorder="1" applyAlignment="1">
      <alignment vertical="center"/>
    </xf>
    <xf numFmtId="1" fontId="6" fillId="0" borderId="2" xfId="0" applyNumberFormat="1" applyFont="1" applyBorder="1" applyAlignment="1">
      <alignment vertical="center"/>
    </xf>
    <xf numFmtId="0" fontId="0" fillId="0" borderId="2" xfId="0" applyBorder="1" applyAlignment="1">
      <alignment vertical="center"/>
    </xf>
    <xf numFmtId="0" fontId="6" fillId="0" borderId="2" xfId="0" applyFont="1" applyBorder="1" applyAlignment="1">
      <alignment vertical="center"/>
    </xf>
    <xf numFmtId="0" fontId="6" fillId="0" borderId="3" xfId="0" applyFont="1" applyBorder="1" applyAlignment="1">
      <alignment vertical="center"/>
    </xf>
    <xf numFmtId="0" fontId="6" fillId="0" borderId="4" xfId="0" applyFont="1" applyBorder="1" applyAlignment="1">
      <alignment vertical="center"/>
    </xf>
    <xf numFmtId="0" fontId="9" fillId="0" borderId="1" xfId="0" applyFont="1" applyBorder="1" applyAlignment="1">
      <alignment vertical="center"/>
    </xf>
    <xf numFmtId="0" fontId="1" fillId="0" borderId="5" xfId="0" applyFont="1" applyBorder="1" applyAlignment="1">
      <alignment vertical="center"/>
    </xf>
    <xf numFmtId="0" fontId="1" fillId="0" borderId="0" xfId="0" applyFont="1" applyAlignment="1">
      <alignment vertical="center"/>
    </xf>
    <xf numFmtId="9" fontId="0" fillId="0" borderId="0" xfId="0" applyNumberFormat="1" applyAlignment="1">
      <alignment vertical="center"/>
    </xf>
    <xf numFmtId="0" fontId="8" fillId="9" borderId="1" xfId="0" applyFont="1" applyFill="1" applyBorder="1"/>
    <xf numFmtId="14" fontId="1" fillId="9" borderId="1" xfId="0" applyNumberFormat="1" applyFont="1" applyFill="1" applyBorder="1"/>
    <xf numFmtId="14" fontId="8" fillId="9" borderId="2" xfId="0" applyNumberFormat="1" applyFont="1" applyFill="1" applyBorder="1"/>
    <xf numFmtId="1" fontId="1" fillId="0" borderId="5" xfId="0" applyNumberFormat="1" applyFont="1" applyBorder="1" applyAlignment="1">
      <alignment vertical="center"/>
    </xf>
    <xf numFmtId="0" fontId="2" fillId="0" borderId="0" xfId="0" applyFont="1"/>
    <xf numFmtId="16" fontId="2" fillId="0" borderId="0" xfId="0" applyNumberFormat="1" applyFont="1"/>
    <xf numFmtId="0" fontId="2" fillId="10" borderId="0" xfId="0" applyFont="1" applyFill="1"/>
    <xf numFmtId="0" fontId="12" fillId="11" borderId="0" xfId="0" applyFont="1" applyFill="1"/>
    <xf numFmtId="0" fontId="0" fillId="8" borderId="2" xfId="0" applyFill="1" applyBorder="1"/>
    <xf numFmtId="0" fontId="0" fillId="0" borderId="2" xfId="0" applyBorder="1"/>
    <xf numFmtId="14" fontId="1" fillId="9" borderId="3" xfId="0" applyNumberFormat="1" applyFont="1" applyFill="1" applyBorder="1"/>
    <xf numFmtId="0" fontId="0" fillId="0" borderId="10" xfId="0" applyBorder="1"/>
    <xf numFmtId="0" fontId="0" fillId="0" borderId="16" xfId="0" applyBorder="1"/>
    <xf numFmtId="0" fontId="0" fillId="0" borderId="3" xfId="0" applyBorder="1" applyAlignment="1">
      <alignment horizontal="center" vertical="center" wrapText="1"/>
    </xf>
    <xf numFmtId="0" fontId="0" fillId="12" borderId="0" xfId="0" applyFill="1"/>
    <xf numFmtId="0" fontId="0" fillId="0" borderId="1" xfId="0" applyBorder="1" applyAlignment="1">
      <alignment horizontal="center" vertical="center"/>
    </xf>
    <xf numFmtId="0" fontId="0" fillId="0" borderId="3"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4" xfId="0" applyBorder="1" applyAlignment="1">
      <alignment horizontal="center" vertical="center"/>
    </xf>
    <xf numFmtId="0" fontId="0" fillId="0" borderId="12" xfId="0" applyBorder="1" applyAlignment="1">
      <alignment horizontal="center" vertical="center"/>
    </xf>
    <xf numFmtId="0" fontId="0" fillId="0" borderId="9" xfId="0" applyBorder="1" applyAlignment="1">
      <alignment horizontal="center" vertical="center"/>
    </xf>
    <xf numFmtId="0" fontId="0" fillId="0" borderId="0" xfId="0" applyAlignment="1">
      <alignment horizontal="center" vertical="center"/>
    </xf>
    <xf numFmtId="0" fontId="0" fillId="0" borderId="10" xfId="0" applyBorder="1" applyAlignment="1">
      <alignment horizontal="center" vertical="center"/>
    </xf>
    <xf numFmtId="0" fontId="0" fillId="0" borderId="13" xfId="0" applyBorder="1" applyAlignment="1">
      <alignment horizontal="center" vertical="center"/>
    </xf>
    <xf numFmtId="0" fontId="9" fillId="0" borderId="4" xfId="0" applyFont="1" applyBorder="1" applyAlignment="1">
      <alignment horizontal="center" vertical="center"/>
    </xf>
    <xf numFmtId="0" fontId="9" fillId="0" borderId="14" xfId="0" applyFont="1" applyBorder="1" applyAlignment="1">
      <alignment horizontal="center" vertical="center"/>
    </xf>
    <xf numFmtId="0" fontId="9" fillId="0" borderId="9" xfId="0" applyFont="1" applyBorder="1" applyAlignment="1">
      <alignment horizontal="center" vertical="center"/>
    </xf>
    <xf numFmtId="0" fontId="9" fillId="0" borderId="15" xfId="0" applyFont="1" applyBorder="1" applyAlignment="1">
      <alignment horizontal="center" vertical="center"/>
    </xf>
    <xf numFmtId="0" fontId="9" fillId="0" borderId="10" xfId="0" applyFont="1" applyBorder="1" applyAlignment="1">
      <alignment horizontal="center" vertical="center"/>
    </xf>
    <xf numFmtId="0" fontId="9" fillId="0" borderId="16" xfId="0" applyFon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cellXfs>
  <cellStyles count="2">
    <cellStyle name="Hyperlink" xfId="1" builtinId="8"/>
    <cellStyle name="Normal" xfId="0" builtinId="0"/>
  </cellStyles>
  <dxfs count="0"/>
  <tableStyles count="1" defaultTableStyle="TableStyleMedium2" defaultPivotStyle="PivotStyleLight16">
    <tableStyle name="PivotTable Style 1" table="0" count="0" xr9:uid="{BDD7A16C-2131-447A-8E7E-7B59CABFA63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32.778066782404" createdVersion="8" refreshedVersion="8" minRefreshableVersion="3" recordCount="153" xr:uid="{2FE8FEEE-85E6-4BDC-A70A-713FA7676087}">
  <cacheSource type="worksheet">
    <worksheetSource ref="A2:H155" sheet="EXIM Data"/>
  </cacheSource>
  <cacheFields count="8">
    <cacheField name="Indian Company" numFmtId="0">
      <sharedItems count="10">
        <s v="A &amp; S CREATIONS"/>
        <s v="A A METAL MART"/>
        <s v="A AND J ENTERPRISES"/>
        <s v="A B CASTING"/>
        <s v="B B ENGINEERING WORKS"/>
        <s v="B E ASIA PRIVATE LIMITED"/>
        <s v="B FOURESS PRIVATE LIMITED"/>
        <s v="C B ENTERPRISE"/>
        <s v="C FAST AGENCIES"/>
        <s v="C L GUPTA EXPORTS LIMITED"/>
      </sharedItems>
    </cacheField>
    <cacheField name="CHA Name" numFmtId="0">
      <sharedItems count="33">
        <s v="J.M.D. CARGO PVT LTD"/>
        <s v="K S LOGISTICS"/>
        <s v="ASIAN PREMIER LOGISTICS"/>
        <s v="GLOBAL CARGO FORWARDERS"/>
        <s v="MASKATI SHIPPING &amp; LOGISTICS PVT. LTD."/>
        <s v="CHAUDHARY ASSOCIATES"/>
        <s v="M/S. AJAY CLEARIING ENTERPRISE"/>
        <s v="NIKHIL CLEARING &amp; FORWARDING PVT LTD"/>
        <s v="S.M.ENTERPRISE"/>
        <s v="DIBRUPA ENTERPRISE"/>
        <s v="PEARL LOGISTICS"/>
        <s v="ULTRA COMMERCIAL &amp; CO."/>
        <s v="VS TRANS LOJISTIK PRIVATE LIMITED"/>
        <s v="AVASHYA IMPEX PRIVATE LIMITED"/>
        <s v="SHANTI CLEARING AND FORWARDING AGENCY"/>
        <s v="UNIQUE SPEDITORER PRIVATE LIMITED"/>
        <s v="APSHAN LOGISTICS"/>
        <s v="DSV AIR AND SEA PVT LTD"/>
        <s v="EMM GEE SHIPPING SERVICES"/>
        <s v="GURBINDER SINGH &amp; CO."/>
        <s v="HAH INTL SHIPPING PVT LTD"/>
        <s v="IMPEX GLOBAL LOGISTICS PRIVATE LIMITED"/>
        <s v="IMPEX LINKERS"/>
        <s v="JUST ON TIME LOGISTICS"/>
        <s v="KODIAK CONTAINER LINES PVT LTD"/>
        <s v="KRISHANA CLEARING &amp; FORWARDING AGENCY"/>
        <s v="N.G.PILLAI"/>
        <s v="N/A"/>
        <s v="NULL"/>
        <s v="SHRI BALAJI LOGISTICS"/>
        <s v="SKYLINE AIRLOGISTICS LTD"/>
        <s v="TRANSGLOBAL LOGISTICS,"/>
        <s v="VARDHMAN CUSTOM CLEARING &amp; FORWARDING AGENTS"/>
      </sharedItems>
    </cacheField>
    <cacheField name="Foreign Company" numFmtId="0">
      <sharedItems/>
    </cacheField>
    <cacheField name="Foreign Country" numFmtId="0">
      <sharedItems count="38">
        <s v="VIETNAM"/>
        <s v="SAUDI ARABIA"/>
        <s v="UNITED STATES"/>
        <s v="GERMANY"/>
        <s v="NETHERLANDS"/>
        <s v="BHUTAN"/>
        <s v="NEW ZEALAND"/>
        <s v="SPAIN"/>
        <s v="BRAZIL"/>
        <s v="NEPAL"/>
        <s v="FIJI"/>
        <s v="UNITED KINGDOM"/>
        <s v="POLAND"/>
        <s v="SWEDEN"/>
        <s v="AUSTRALIA"/>
        <s v="URUGUAY"/>
        <s v="SOUTH AFRICA"/>
        <s v="SWITZERLAND"/>
        <s v="BELGIUM"/>
        <s v="PERU"/>
        <s v="CHINA"/>
        <s v="MALAYSIA"/>
        <s v="SERBIA"/>
        <s v="ECUADOR"/>
        <s v="ITALY"/>
        <s v="JAPAN"/>
        <s v="CANADA"/>
        <s v="PHILIPPINES"/>
        <s v="REPUBLIC OF KOREA"/>
        <s v="TAIWAN"/>
        <s v="MEXICO"/>
        <s v="CHILE"/>
        <s v="TURKEY"/>
        <s v="PANAMA"/>
        <s v="THAILAND"/>
        <s v="UNITED ARAB EMIRATES"/>
        <s v="CZECH REPUBLIC"/>
        <s v="IRELAND"/>
      </sharedItems>
    </cacheField>
    <cacheField name="Foreign Port" numFmtId="0">
      <sharedItems/>
    </cacheField>
    <cacheField name="Import Type" numFmtId="0">
      <sharedItems/>
    </cacheField>
    <cacheField name="Indian Port" numFmtId="0">
      <sharedItems/>
    </cacheField>
    <cacheField name="Total" numFmtId="164">
      <sharedItems containsSemiMixedTypes="0" containsString="0" containsNumber="1" minValue="1061" maxValue="18264093.3599999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
  <r>
    <x v="0"/>
    <x v="0"/>
    <s v="504 POWER LIMITED COMPANY"/>
    <x v="0"/>
    <s v="HO CHI MINH C"/>
    <s v="AIR"/>
    <s v="Delhi Air"/>
    <n v="3029100"/>
  </r>
  <r>
    <x v="0"/>
    <x v="1"/>
    <s v="504 POWER LIMITED COMPANY"/>
    <x v="0"/>
    <s v="Ho Chi Minh City"/>
    <s v="SEA"/>
    <s v="Delhi TKD ICD"/>
    <n v="3029100"/>
  </r>
  <r>
    <x v="1"/>
    <x v="2"/>
    <s v="AL-DHIA AL-LAMA CO."/>
    <x v="1"/>
    <s v="Jeddah"/>
    <s v="SEA"/>
    <s v="JNPT"/>
    <n v="4194890.84"/>
  </r>
  <r>
    <x v="1"/>
    <x v="2"/>
    <s v="ASL DOS TRADING EST"/>
    <x v="1"/>
    <s v="Jeddah"/>
    <s v="SEA"/>
    <s v="JNPT"/>
    <n v="1872208.2200000002"/>
  </r>
  <r>
    <x v="2"/>
    <x v="3"/>
    <s v="MERCANTILE INTERNATIONAL NA LLC"/>
    <x v="2"/>
    <s v="NEW YORK"/>
    <s v="SEA"/>
    <s v="JNPT"/>
    <n v="2116650.56"/>
  </r>
  <r>
    <x v="3"/>
    <x v="4"/>
    <s v="RS-RECYCLING GMBH."/>
    <x v="3"/>
    <s v="Rotterdam"/>
    <s v="SEA"/>
    <s v="CONCOR ICD MIHAN"/>
    <n v="5216570.13"/>
  </r>
  <r>
    <x v="3"/>
    <x v="4"/>
    <s v="RS-RECYCLING GMBH."/>
    <x v="4"/>
    <s v="Rotterdam"/>
    <s v="SEA"/>
    <s v="CONCOR ICD MIHAN"/>
    <n v="8447288.1400000006"/>
  </r>
  <r>
    <x v="4"/>
    <x v="5"/>
    <s v="BHUTAN HARDWARE AGENCY"/>
    <x v="5"/>
    <s v="Phuntsholing"/>
    <s v="SEA"/>
    <s v="Jaigaon"/>
    <n v="2716019.3099999996"/>
  </r>
  <r>
    <x v="4"/>
    <x v="5"/>
    <s v="SL ENTERPRISE"/>
    <x v="5"/>
    <s v="Phuntsholing"/>
    <s v="SEA"/>
    <s v="Jaigaon"/>
    <n v="743250"/>
  </r>
  <r>
    <x v="5"/>
    <x v="6"/>
    <s v="GE POWER NEW ZEALAND LIMITED"/>
    <x v="6"/>
    <s v="CHRISTCHURCH"/>
    <s v="AIR"/>
    <s v="Ahmedabad Air"/>
    <n v="91168"/>
  </r>
  <r>
    <x v="5"/>
    <x v="7"/>
    <s v="UTE WTW CHIRA SORIA"/>
    <x v="7"/>
    <s v="Las Palmas"/>
    <s v="SEA"/>
    <s v="JNPT"/>
    <n v="409027.63000000006"/>
  </r>
  <r>
    <x v="5"/>
    <x v="8"/>
    <s v="GE ENERGLAS RENOVAVELS LTDA"/>
    <x v="8"/>
    <s v="S J CAMPOS, SP"/>
    <s v="AIR"/>
    <s v="Ahmedabad Air"/>
    <n v="141195.28"/>
  </r>
  <r>
    <x v="6"/>
    <x v="9"/>
    <s v="SONA KHOLA HYDROPOWER PROJECT"/>
    <x v="9"/>
    <s v="Biratnagar"/>
    <s v="SEA"/>
    <s v="Jogbani"/>
    <n v="336924.66"/>
  </r>
  <r>
    <x v="6"/>
    <x v="10"/>
    <s v="BA VI POWER INVESTMENT JOINT STOCK"/>
    <x v="0"/>
    <s v="Da Nang"/>
    <s v="SEA"/>
    <s v="Madras Sea"/>
    <n v="1037168"/>
  </r>
  <r>
    <x v="6"/>
    <x v="10"/>
    <s v="BATO ENERGY INVESTMENT"/>
    <x v="0"/>
    <s v="Da Nang"/>
    <s v="SEA"/>
    <s v="Madras Sea"/>
    <n v="4910206.4000000004"/>
  </r>
  <r>
    <x v="6"/>
    <x v="11"/>
    <s v="UPPER JUNBESI KHOLA HYDROPOWER"/>
    <x v="9"/>
    <s v="Kathmandu"/>
    <s v="SEA"/>
    <s v="Raxaul"/>
    <n v="221619.82"/>
  </r>
  <r>
    <x v="6"/>
    <x v="12"/>
    <s v="TIEN ANH CONSTRUCTION AND TRADING"/>
    <x v="0"/>
    <s v="Haiphong"/>
    <s v="SEA"/>
    <s v="Madras Sea"/>
    <n v="2433735.64"/>
  </r>
  <r>
    <x v="7"/>
    <x v="13"/>
    <s v="ANITA JEWELLERS PTE LTD"/>
    <x v="10"/>
    <s v="SUVA"/>
    <s v="SEA"/>
    <s v="JNPT"/>
    <n v="42240.06"/>
  </r>
  <r>
    <x v="7"/>
    <x v="14"/>
    <s v="GOHIL EMPORIUM."/>
    <x v="11"/>
    <s v="BIRMINGHAM"/>
    <s v="SEA"/>
    <s v="JNPT"/>
    <n v="749071.10000000009"/>
  </r>
  <r>
    <x v="8"/>
    <x v="15"/>
    <s v="METYZ KAPITAL LTD"/>
    <x v="12"/>
    <s v="Ternopol"/>
    <s v="SEA"/>
    <s v="Mundra"/>
    <n v="4925375.0100000007"/>
  </r>
  <r>
    <x v="9"/>
    <x v="16"/>
    <s v="WILLIAMS SONOMA SINGAPORE PTE LTD"/>
    <x v="2"/>
    <s v="NEW YORK"/>
    <s v="AIR"/>
    <s v="Delhi Air"/>
    <n v="7546.84"/>
  </r>
  <r>
    <x v="9"/>
    <x v="16"/>
    <s v="ZARA HOME ESPANA, S.A"/>
    <x v="7"/>
    <s v="VALERA"/>
    <s v="AIR"/>
    <s v="Delhi Air"/>
    <n v="10884.95"/>
  </r>
  <r>
    <x v="9"/>
    <x v="17"/>
    <s v="ZARA HOME ESPANA, S.A"/>
    <x v="7"/>
    <s v="ZARAGOZA"/>
    <s v="AIR"/>
    <s v="Delhi Air"/>
    <n v="442119"/>
  </r>
  <r>
    <x v="9"/>
    <x v="18"/>
    <s v="064-DT-1"/>
    <x v="3"/>
    <s v="DORTMUND"/>
    <s v="SEA"/>
    <s v="Pakwara-Moradabad"/>
    <n v="1880513.58"/>
  </r>
  <r>
    <x v="9"/>
    <x v="18"/>
    <s v="CLAS OHLSON AB (PUBL)"/>
    <x v="13"/>
    <s v="GOTHENBURG"/>
    <s v="SEA"/>
    <s v="Pakwara-Moradabad"/>
    <n v="1679410.37"/>
  </r>
  <r>
    <x v="9"/>
    <x v="18"/>
    <s v="COSTCO WHOLESALE AUSTRALIA PTY LTD."/>
    <x v="14"/>
    <s v="SYDNEY"/>
    <s v="SEA"/>
    <s v="Pakwara-Moradabad"/>
    <n v="4387734.01"/>
  </r>
  <r>
    <x v="9"/>
    <x v="18"/>
    <s v="COSTCO WHOLESALE SPAIN S.L.U"/>
    <x v="7"/>
    <s v="Valencia"/>
    <s v="SEA"/>
    <s v="Pakwara-Moradabad"/>
    <n v="2795539.5099999993"/>
  </r>
  <r>
    <x v="9"/>
    <x v="18"/>
    <s v="COSTCO WHOLESALE UK LTD"/>
    <x v="11"/>
    <s v="LONDON GATWAY PORT"/>
    <s v="SEA"/>
    <s v="Dadri-CGML"/>
    <n v="4182140.2699999996"/>
  </r>
  <r>
    <x v="9"/>
    <x v="18"/>
    <s v="COSTCO WHOLESALE UK LTD"/>
    <x v="11"/>
    <s v="LONDON GATWAY PORT"/>
    <s v="SEA"/>
    <s v="Pakwara-Moradabad"/>
    <n v="4448151.1899999995"/>
  </r>
  <r>
    <x v="9"/>
    <x v="18"/>
    <s v="DUNELM (SOFT FURNISHINGS) LTD."/>
    <x v="11"/>
    <s v="LONDON GATWAY PORT"/>
    <s v="SEA"/>
    <s v="Pakwara-Moradabad"/>
    <n v="2971433.85"/>
  </r>
  <r>
    <x v="9"/>
    <x v="18"/>
    <s v="WILLIAMS SONOMA SINGAPORE PTE LTD"/>
    <x v="2"/>
    <s v="NEW YORK"/>
    <s v="SEA"/>
    <s v="Pakwara-Moradabad"/>
    <n v="3713270.01"/>
  </r>
  <r>
    <x v="9"/>
    <x v="18"/>
    <s v="WILLIAMS SONOMA SINGAPORE PTE LTD"/>
    <x v="2"/>
    <s v="Newark"/>
    <s v="SEA"/>
    <s v="Pakwara-Moradabad"/>
    <n v="2583556.61"/>
  </r>
  <r>
    <x v="9"/>
    <x v="18"/>
    <s v="WILLIAMS SONOMA SINGAPORE PTE LTD"/>
    <x v="2"/>
    <s v="Oakland"/>
    <s v="SEA"/>
    <s v="Pakwara-Moradabad"/>
    <n v="3542790.2600000002"/>
  </r>
  <r>
    <x v="9"/>
    <x v="18"/>
    <s v="WILLIAMS SONOMA SINGAPORE PTE. LTD."/>
    <x v="2"/>
    <s v="NEW YORK"/>
    <s v="SEA"/>
    <s v="Pakwara-Moradabad"/>
    <n v="5511022.1699999999"/>
  </r>
  <r>
    <x v="9"/>
    <x v="18"/>
    <s v="WILLIAMS SONOMA SINGAPORE PTE. LTD."/>
    <x v="2"/>
    <s v="Newark"/>
    <s v="SEA"/>
    <s v="Pakwara-Moradabad"/>
    <n v="621751.27"/>
  </r>
  <r>
    <x v="9"/>
    <x v="18"/>
    <s v="WILLIAMS SONOMA SINGAPORE PTE. LTD."/>
    <x v="2"/>
    <s v="Oakland"/>
    <s v="SEA"/>
    <s v="Pakwara-Moradabad"/>
    <n v="5640330.1500000004"/>
  </r>
  <r>
    <x v="9"/>
    <x v="18"/>
    <s v="ZARA HOME ESPANA, S.A"/>
    <x v="7"/>
    <s v="Valencia"/>
    <s v="SEA"/>
    <s v="Dadri-CGML"/>
    <n v="1264319.92"/>
  </r>
  <r>
    <x v="9"/>
    <x v="18"/>
    <s v="ZARA HOME ESPANA, S.A"/>
    <x v="7"/>
    <s v="Valencia"/>
    <s v="SEA"/>
    <s v="Pakwara-Moradabad"/>
    <n v="1206562.5"/>
  </r>
  <r>
    <x v="9"/>
    <x v="19"/>
    <s v="TARGET"/>
    <x v="2"/>
    <s v="Norfolk"/>
    <s v="SEA"/>
    <s v="SANDKHERA ICD /KASHIPUR"/>
    <n v="3073255.68"/>
  </r>
  <r>
    <x v="9"/>
    <x v="19"/>
    <s v="TARGET."/>
    <x v="2"/>
    <s v="Norfolk"/>
    <s v="SEA"/>
    <s v="SANDKHERA ICD /KASHIPUR"/>
    <n v="1943793.45"/>
  </r>
  <r>
    <x v="9"/>
    <x v="19"/>
    <s v="WOHNMANUFACTUR GRUNBERGER S.R.O."/>
    <x v="3"/>
    <s v="Hamburg"/>
    <s v="SEA"/>
    <s v="Pakwara-Moradabad"/>
    <n v="5785590.1000000006"/>
  </r>
  <r>
    <x v="9"/>
    <x v="20"/>
    <s v="CAMINO BAJO DE LA PETISA"/>
    <x v="15"/>
    <s v="Tanjong Pelepas"/>
    <s v="SEA"/>
    <s v="Mundra"/>
    <n v="8049.5"/>
  </r>
  <r>
    <x v="9"/>
    <x v="20"/>
    <s v="H &amp; M HENNES &amp; MAURITZ  GBC AB"/>
    <x v="16"/>
    <s v="Durban"/>
    <s v="SEA"/>
    <s v="Mundra"/>
    <n v="292063.33"/>
  </r>
  <r>
    <x v="9"/>
    <x v="20"/>
    <s v="H &amp; M HENNES &amp; MAURITZ GBC AB"/>
    <x v="4"/>
    <s v="Rotterdam"/>
    <s v="SEA"/>
    <s v="Mundra"/>
    <n v="34136.639999999999"/>
  </r>
  <r>
    <x v="9"/>
    <x v="20"/>
    <s v="H &amp; M HENNES &amp; MAURITZ GBC AB"/>
    <x v="17"/>
    <s v="Rotterdam"/>
    <s v="SEA"/>
    <s v="Mundra"/>
    <n v="354130.44"/>
  </r>
  <r>
    <x v="9"/>
    <x v="20"/>
    <s v="H &amp; M HENNES &amp; MAURITZ LOGISTICS"/>
    <x v="18"/>
    <s v="Antwerpen"/>
    <s v="SEA"/>
    <s v="Mundra"/>
    <n v="2896576.0100000002"/>
  </r>
  <r>
    <x v="9"/>
    <x v="20"/>
    <s v="H &amp; M HENNES &amp; MAURITZ S.A.C. AV."/>
    <x v="19"/>
    <s v="Callao"/>
    <s v="SEA"/>
    <s v="Mundra"/>
    <n v="9799.68"/>
  </r>
  <r>
    <x v="9"/>
    <x v="20"/>
    <s v="H &amp; M HENNES MAURITZ (SHANGHAI)"/>
    <x v="20"/>
    <s v="Shanghai"/>
    <s v="SEA"/>
    <s v="Mundra"/>
    <n v="41860.409999999996"/>
  </r>
  <r>
    <x v="9"/>
    <x v="20"/>
    <s v="H &amp; M RETAIL SDN BHD"/>
    <x v="21"/>
    <s v="Port Kelang"/>
    <s v="SEA"/>
    <s v="Mundra"/>
    <n v="28232.7"/>
  </r>
  <r>
    <x v="9"/>
    <x v="20"/>
    <s v="H&amp;M HENNES &amp; MAURITZ"/>
    <x v="4"/>
    <s v="Rotterdam"/>
    <s v="SEA"/>
    <s v="Mundra"/>
    <n v="2524333.4200000004"/>
  </r>
  <r>
    <x v="9"/>
    <x v="20"/>
    <s v="H&amp;M HENNES &amp; MAURITZ CUSTOMER"/>
    <x v="7"/>
    <s v="Valencia"/>
    <s v="SEA"/>
    <s v="Mundra"/>
    <n v="3218961.1100000008"/>
  </r>
  <r>
    <x v="9"/>
    <x v="20"/>
    <s v="H&amp;M HENNES &amp; MAURITZ D.O.O"/>
    <x v="22"/>
    <s v="Hamburg"/>
    <s v="SEA"/>
    <s v="Mundra"/>
    <n v="65521.280000000006"/>
  </r>
  <r>
    <x v="9"/>
    <x v="20"/>
    <s v="H&amp;M HENNES &amp; MAURITZ EC S.A.S.,"/>
    <x v="23"/>
    <s v="Tanjong Pelepas"/>
    <s v="SEA"/>
    <s v="Mundra"/>
    <n v="45484.700000000004"/>
  </r>
  <r>
    <x v="9"/>
    <x v="20"/>
    <s v="H&amp;M HENNES &amp; MAURITZ GBC AB"/>
    <x v="24"/>
    <s v="Genoa"/>
    <s v="SEA"/>
    <s v="Mundra"/>
    <n v="1410208.76"/>
  </r>
  <r>
    <x v="9"/>
    <x v="20"/>
    <s v="H&amp;M HENNES &amp; MAURITZ GBC AB"/>
    <x v="25"/>
    <s v="TOKYO"/>
    <s v="SEA"/>
    <s v="Mundra"/>
    <n v="189399.9"/>
  </r>
  <r>
    <x v="9"/>
    <x v="20"/>
    <s v="H&amp;M HENNES &amp; MAURITZ GBC AB"/>
    <x v="13"/>
    <s v="GOTHENBURG"/>
    <s v="SEA"/>
    <s v="Mundra"/>
    <n v="6457786.6600000001"/>
  </r>
  <r>
    <x v="9"/>
    <x v="20"/>
    <s v="H&amp;M HENNES &amp; MAURITZ GBC AB C/O GXO"/>
    <x v="24"/>
    <s v="Genoa"/>
    <s v="SEA"/>
    <s v="Mundra"/>
    <n v="18127.87"/>
  </r>
  <r>
    <x v="9"/>
    <x v="20"/>
    <s v="H&amp;M HENNES &amp; MAURITZ GBC AB SVISTA"/>
    <x v="13"/>
    <s v="GOTHENBURG"/>
    <s v="SEA"/>
    <s v="Mundra"/>
    <n v="39277.06"/>
  </r>
  <r>
    <x v="9"/>
    <x v="20"/>
    <s v="H&amp;M HENNES &amp; MAURITZ GBC C/O"/>
    <x v="11"/>
    <s v="Felixstowe"/>
    <s v="SEA"/>
    <s v="Mundra"/>
    <n v="1301190.6700000004"/>
  </r>
  <r>
    <x v="9"/>
    <x v="20"/>
    <s v="H&amp;M HENNES &amp; MAURITZ INC"/>
    <x v="26"/>
    <s v="Toronto"/>
    <s v="SEA"/>
    <s v="Mundra"/>
    <n v="629228.81000000006"/>
  </r>
  <r>
    <x v="9"/>
    <x v="20"/>
    <s v="H&amp;M HENNES &amp; MAURITZ INC,"/>
    <x v="26"/>
    <s v="Toronto"/>
    <s v="SEA"/>
    <s v="Mundra"/>
    <n v="7005.96"/>
  </r>
  <r>
    <x v="9"/>
    <x v="20"/>
    <s v="H&amp;M HENNES &amp; MAURITZ INC, 210"/>
    <x v="26"/>
    <s v="Toronto"/>
    <s v="SEA"/>
    <s v="Mundra"/>
    <n v="6042.62"/>
  </r>
  <r>
    <x v="9"/>
    <x v="20"/>
    <s v="H&amp;M HENNES &amp; MAURITZ INC."/>
    <x v="26"/>
    <s v="Toronto"/>
    <s v="SEA"/>
    <s v="Mundra"/>
    <n v="125567.86000000002"/>
  </r>
  <r>
    <x v="9"/>
    <x v="20"/>
    <s v="H&amp;M HENNES &amp; MAURITZ INC."/>
    <x v="27"/>
    <s v="Manila"/>
    <s v="SEA"/>
    <s v="Mundra"/>
    <n v="27101.7"/>
  </r>
  <r>
    <x v="9"/>
    <x v="20"/>
    <s v="H&amp;M HENNES &amp; MAURITZ LOGISTIC"/>
    <x v="3"/>
    <s v="Hamburg"/>
    <s v="SEA"/>
    <s v="Mundra"/>
    <n v="745830.14"/>
  </r>
  <r>
    <x v="9"/>
    <x v="20"/>
    <s v="H&amp;M HENNES &amp; MAURITZ LOGISTIC"/>
    <x v="12"/>
    <s v="Hamburg"/>
    <s v="SEA"/>
    <s v="Mundra"/>
    <n v="57974.400000000001"/>
  </r>
  <r>
    <x v="9"/>
    <x v="20"/>
    <s v="H&amp;M HENNES &amp; MAURITZ LOGISTIC SP"/>
    <x v="12"/>
    <s v="Gdynia"/>
    <s v="SEA"/>
    <s v="Mundra"/>
    <n v="15540508.409999996"/>
  </r>
  <r>
    <x v="9"/>
    <x v="20"/>
    <s v="H&amp;M HENNES &amp; MAURITZ LOGISTICS"/>
    <x v="3"/>
    <s v="Hamburg"/>
    <s v="SEA"/>
    <s v="Mundra"/>
    <n v="706138.75000000012"/>
  </r>
  <r>
    <x v="9"/>
    <x v="20"/>
    <s v="H&amp;M HENNES &amp; MAURITZ LP,"/>
    <x v="2"/>
    <s v="Indianapolis"/>
    <s v="SEA"/>
    <s v="Mundra"/>
    <n v="1612531.97"/>
  </r>
  <r>
    <x v="9"/>
    <x v="20"/>
    <s v="H&amp;M HENNES &amp; MAURITZ LP,"/>
    <x v="2"/>
    <s v="Newark"/>
    <s v="SEA"/>
    <s v="Mundra"/>
    <n v="250947.29"/>
  </r>
  <r>
    <x v="9"/>
    <x v="20"/>
    <s v="H&amp;M HENNES &amp; MAURITZ LP, 300"/>
    <x v="2"/>
    <s v="Indianapolis"/>
    <s v="SEA"/>
    <s v="Mundra"/>
    <n v="589092.87"/>
  </r>
  <r>
    <x v="9"/>
    <x v="20"/>
    <s v="H&amp;M HENNES &amp; MAURITZ LTD 15F"/>
    <x v="28"/>
    <s v="Busan(Korea)"/>
    <s v="SEA"/>
    <s v="Mundra"/>
    <n v="39070.300000000003"/>
  </r>
  <r>
    <x v="9"/>
    <x v="20"/>
    <s v="H&amp;M HENNES &amp; MAURITZ LTD 15F,"/>
    <x v="28"/>
    <s v="Busan(Korea)"/>
    <s v="SEA"/>
    <s v="Mundra"/>
    <n v="19614.080000000002"/>
  </r>
  <r>
    <x v="9"/>
    <x v="20"/>
    <s v="H&amp;M HENNES &amp; MAURITZ LTD."/>
    <x v="11"/>
    <s v="Felixstowe"/>
    <s v="SEA"/>
    <s v="Mundra"/>
    <n v="4009656.7499999991"/>
  </r>
  <r>
    <x v="9"/>
    <x v="20"/>
    <s v="H&amp;M HENNES &amp; MAURITZ LTD. C/O"/>
    <x v="11"/>
    <s v="Felixstowe"/>
    <s v="SEA"/>
    <s v="Mundra"/>
    <n v="30213.119999999999"/>
  </r>
  <r>
    <x v="9"/>
    <x v="20"/>
    <s v="H&amp;M HENNES &amp; MAURITZ NETHERLANDS"/>
    <x v="29"/>
    <s v="Tanjong Pelepas"/>
    <s v="SEA"/>
    <s v="Mundra"/>
    <n v="45341.25"/>
  </r>
  <r>
    <x v="9"/>
    <x v="20"/>
    <s v="H&amp;M HENNES &amp; MAURITZ NETHERLANDS."/>
    <x v="4"/>
    <s v="Rotterdam"/>
    <s v="SEA"/>
    <s v="Mundra"/>
    <n v="18127.88"/>
  </r>
  <r>
    <x v="9"/>
    <x v="20"/>
    <s v="H&amp;M HENNES &amp; MAURITZ PTY LTD"/>
    <x v="14"/>
    <s v="SYDNEY"/>
    <s v="SEA"/>
    <s v="Mundra"/>
    <n v="149092.79999999999"/>
  </r>
  <r>
    <x v="9"/>
    <x v="20"/>
    <s v="H&amp;M HENNES &amp; MAURITZ S.L."/>
    <x v="7"/>
    <s v="Valencia"/>
    <s v="SEA"/>
    <s v="Mundra"/>
    <n v="544272.89999999991"/>
  </r>
  <r>
    <x v="9"/>
    <x v="20"/>
    <s v="H&amp;M HENNES &amp; MAURITZ SERVICIOS"/>
    <x v="30"/>
    <s v="Veracruz"/>
    <s v="SEA"/>
    <s v="Mundra"/>
    <n v="1015268.84"/>
  </r>
  <r>
    <x v="9"/>
    <x v="20"/>
    <s v="H&amp;M HENNES &amp; MAURITZ SERVICIOS SA"/>
    <x v="30"/>
    <s v="Veracruz"/>
    <s v="SEA"/>
    <s v="Mundra"/>
    <n v="8713.65"/>
  </r>
  <r>
    <x v="9"/>
    <x v="20"/>
    <s v="H&amp;M HENNES &amp; MAURITZ SPA AV."/>
    <x v="31"/>
    <s v="Valparaiso"/>
    <s v="SEA"/>
    <s v="Mundra"/>
    <n v="39198.720000000001"/>
  </r>
  <r>
    <x v="9"/>
    <x v="20"/>
    <s v="H&amp;M HENNES &amp; MAURITZ TEKSTIL LTD."/>
    <x v="32"/>
    <s v="ISTANBUL"/>
    <s v="SEA"/>
    <s v="Mundra"/>
    <n v="174539.02000000002"/>
  </r>
  <r>
    <x v="9"/>
    <x v="20"/>
    <s v="H&amp;M HENNES&amp;MAURITZ LOGISTIK"/>
    <x v="3"/>
    <s v="Ashdod"/>
    <s v="SEA"/>
    <s v="Mundra"/>
    <n v="167935.17"/>
  </r>
  <r>
    <x v="9"/>
    <x v="20"/>
    <s v="H&amp;MHENNES&amp;MAURITZ BRAZIL"/>
    <x v="8"/>
    <s v="Tanjong Pelepas"/>
    <s v="SEA"/>
    <s v="Mundra"/>
    <n v="29444.65"/>
  </r>
  <r>
    <x v="9"/>
    <x v="20"/>
    <s v="HOLA MODA S.A.,"/>
    <x v="33"/>
    <s v="Tanjong Pelepas"/>
    <s v="SEA"/>
    <s v="Mundra"/>
    <n v="801572.3"/>
  </r>
  <r>
    <x v="9"/>
    <x v="20"/>
    <s v="HTHAI (THAILAND) CO LTD"/>
    <x v="34"/>
    <s v="BANGKOK"/>
    <s v="SEA"/>
    <s v="Mundra"/>
    <n v="366388.51999999996"/>
  </r>
  <r>
    <x v="9"/>
    <x v="20"/>
    <s v="LOGIX FZCO"/>
    <x v="35"/>
    <s v="Jebel Ali"/>
    <s v="SEA"/>
    <s v="Mundra"/>
    <n v="1397843.2700000003"/>
  </r>
  <r>
    <x v="9"/>
    <x v="20"/>
    <s v="PRIMARK LIMITED"/>
    <x v="36"/>
    <s v="Rotterdam"/>
    <s v="SEA"/>
    <s v="Dadri-STTPL CFS"/>
    <n v="38836.79"/>
  </r>
  <r>
    <x v="9"/>
    <x v="20"/>
    <s v="PRIMARK LIMITED"/>
    <x v="3"/>
    <s v="Rotterdam"/>
    <s v="SEA"/>
    <s v="Dadri-STTPL CFS"/>
    <n v="48964.53"/>
  </r>
  <r>
    <x v="9"/>
    <x v="20"/>
    <s v="PRIMARK LIMITED"/>
    <x v="37"/>
    <s v="DUBLIN"/>
    <s v="SEA"/>
    <s v="Dadri-STTPL CFS"/>
    <n v="54840.25"/>
  </r>
  <r>
    <x v="9"/>
    <x v="20"/>
    <s v="PRIMARK LIMITED"/>
    <x v="35"/>
    <s v="Jebel Ali"/>
    <s v="SEA"/>
    <s v="Dadri-STTPL CFS"/>
    <n v="5825.52"/>
  </r>
  <r>
    <x v="9"/>
    <x v="20"/>
    <s v="PRIMARK STORES LIMITED"/>
    <x v="11"/>
    <s v="Felixstowe"/>
    <s v="SEA"/>
    <s v="Dadri-STTPL CFS"/>
    <n v="141093.52000000002"/>
  </r>
  <r>
    <x v="9"/>
    <x v="20"/>
    <s v="PRIMARK TIENDAS SLU"/>
    <x v="7"/>
    <s v="Valencia"/>
    <s v="SEA"/>
    <s v="Dadri-STTPL CFS"/>
    <n v="85440.95"/>
  </r>
  <r>
    <x v="9"/>
    <x v="21"/>
    <s v="WILLIAMS SONOMA SINGAPORE PTE LTD"/>
    <x v="2"/>
    <s v="NEW YORK"/>
    <s v="SEA"/>
    <s v="Piyala ICD"/>
    <n v="3195779.41"/>
  </r>
  <r>
    <x v="9"/>
    <x v="21"/>
    <s v="WILLIAMS SONOMA SINGAPORE PTE LTD"/>
    <x v="2"/>
    <s v="Oakland"/>
    <s v="SEA"/>
    <s v="Piyala ICD"/>
    <n v="141252.87"/>
  </r>
  <r>
    <x v="9"/>
    <x v="21"/>
    <s v="WILLIAMS SONOMA SINGAPORE PTE LTD."/>
    <x v="14"/>
    <s v="SYDNEY"/>
    <s v="SEA"/>
    <s v="Piyala ICD"/>
    <n v="61070.229999999996"/>
  </r>
  <r>
    <x v="9"/>
    <x v="21"/>
    <s v="WILLIAMS SONOMA SINGAPORE PTE. LTD"/>
    <x v="2"/>
    <s v="Charleston"/>
    <s v="SEA"/>
    <s v="Piyala ICD"/>
    <n v="1095187.2100000002"/>
  </r>
  <r>
    <x v="9"/>
    <x v="21"/>
    <s v="WILLIAMS SONOMA SINGAPORE PTE. LTD"/>
    <x v="2"/>
    <s v="Long Beach"/>
    <s v="SEA"/>
    <s v="Piyala ICD"/>
    <n v="195609.43"/>
  </r>
  <r>
    <x v="9"/>
    <x v="21"/>
    <s v="WILLIAMS SONOMA SINGAPORE PTE. LTD"/>
    <x v="2"/>
    <s v="NEW YORK"/>
    <s v="SEA"/>
    <s v="Piyala ICD"/>
    <n v="809212.02"/>
  </r>
  <r>
    <x v="9"/>
    <x v="21"/>
    <s v="WILLIAMS SONOMA SINGAPORE PTE. LTD"/>
    <x v="2"/>
    <s v="Oakland"/>
    <s v="SEA"/>
    <s v="Piyala ICD"/>
    <n v="1148545.98"/>
  </r>
  <r>
    <x v="9"/>
    <x v="21"/>
    <s v="WILLIAMS SONOMA SINGAPORE PTE. LTD."/>
    <x v="2"/>
    <s v="Charleston"/>
    <s v="SEA"/>
    <s v="Piyala ICD"/>
    <n v="29807.59"/>
  </r>
  <r>
    <x v="9"/>
    <x v="21"/>
    <s v="WILLIAMS SONOMA SINGAPORE PTE. LTD."/>
    <x v="2"/>
    <s v="Long Beach"/>
    <s v="SEA"/>
    <s v="Piyala ICD"/>
    <n v="29807.63"/>
  </r>
  <r>
    <x v="9"/>
    <x v="21"/>
    <s v="WILLIAMS SONOMA SINGAPORE PTE. LTD."/>
    <x v="2"/>
    <s v="Newark"/>
    <s v="SEA"/>
    <s v="Piyala ICD"/>
    <n v="117230.47"/>
  </r>
  <r>
    <x v="9"/>
    <x v="22"/>
    <s v="IKEA DISTR. DC3 PIACENZA (016)"/>
    <x v="24"/>
    <s v="Genoa"/>
    <s v="SEA"/>
    <s v="Dadri-ACPL CFS"/>
    <n v="2117507.7200000002"/>
  </r>
  <r>
    <x v="9"/>
    <x v="22"/>
    <s v="IKEA DISTRIBUTION SERVICES GMBH &amp;"/>
    <x v="3"/>
    <s v="DORTMUND"/>
    <s v="SEA"/>
    <s v="Dadri-ACPL CFS"/>
    <n v="8567199.3599999994"/>
  </r>
  <r>
    <x v="9"/>
    <x v="22"/>
    <s v="IKEA DISTRIBUTION SERVICES SHANGHAI"/>
    <x v="20"/>
    <s v="Shanghai"/>
    <s v="SEA"/>
    <s v="Dadri-ACPL CFS"/>
    <n v="1732785.5800000003"/>
  </r>
  <r>
    <x v="9"/>
    <x v="22"/>
    <s v="IKEA SUPPLY (MALAYSIA) SDN. BHD"/>
    <x v="21"/>
    <s v="Port Kelang"/>
    <s v="SEA"/>
    <s v="Dadri-ACPL CFS"/>
    <n v="38356.080000000002"/>
  </r>
  <r>
    <x v="9"/>
    <x v="22"/>
    <s v="IKEA SUPPLY (MIDDLE EAST) DWC"/>
    <x v="35"/>
    <s v="Jebel Ali"/>
    <s v="SEA"/>
    <s v="Dadri-ACPL CFS"/>
    <n v="611631.13"/>
  </r>
  <r>
    <x v="9"/>
    <x v="22"/>
    <s v="WILLIAMS SONOMA SINGAPORE PTE LTD"/>
    <x v="30"/>
    <s v="Lazaro Cardenas"/>
    <s v="SEA"/>
    <s v="Piyala ICD"/>
    <n v="47131.19"/>
  </r>
  <r>
    <x v="9"/>
    <x v="22"/>
    <s v="WILLIAMS SONOMA SINGAPORE PTE LTD."/>
    <x v="14"/>
    <s v="SYDNEY"/>
    <s v="SEA"/>
    <s v="Piyala ICD"/>
    <n v="11337.09"/>
  </r>
  <r>
    <x v="9"/>
    <x v="22"/>
    <s v="WILLIAMS SONOMA SINGAPORE PTE. LTD."/>
    <x v="2"/>
    <s v="Charleston"/>
    <s v="SEA"/>
    <s v="Piyala ICD"/>
    <n v="4658230.8199999994"/>
  </r>
  <r>
    <x v="9"/>
    <x v="22"/>
    <s v="WILLIAMS SONOMA SINGAPORE PTE. LTD."/>
    <x v="2"/>
    <s v="Long Beach"/>
    <s v="SEA"/>
    <s v="Piyala ICD"/>
    <n v="4966109.3400000017"/>
  </r>
  <r>
    <x v="9"/>
    <x v="22"/>
    <s v="WILLIAMS SONOMA SINGAPORE PTE. LTD."/>
    <x v="2"/>
    <s v="NEW YORK"/>
    <s v="SEA"/>
    <s v="Piyala ICD"/>
    <n v="1441734.7399999998"/>
  </r>
  <r>
    <x v="9"/>
    <x v="22"/>
    <s v="WILLIAMS SONOMA SINGAPORE PTE. LTD."/>
    <x v="2"/>
    <s v="Newark"/>
    <s v="SEA"/>
    <s v="Piyala ICD"/>
    <n v="595814.17999999993"/>
  </r>
  <r>
    <x v="9"/>
    <x v="22"/>
    <s v="WILLIAMS SONOMA SINGAPORE PTE. LTD."/>
    <x v="2"/>
    <s v="Oakland"/>
    <s v="SEA"/>
    <s v="Piyala ICD"/>
    <n v="581296.24"/>
  </r>
  <r>
    <x v="9"/>
    <x v="23"/>
    <s v="POTTERY BARN"/>
    <x v="2"/>
    <s v="LOS ANGELES"/>
    <s v="AIR"/>
    <s v="Delhi Air"/>
    <n v="41193"/>
  </r>
  <r>
    <x v="9"/>
    <x v="24"/>
    <s v="ZARA HOME ESPANA SA"/>
    <x v="7"/>
    <s v="BARCELONA"/>
    <s v="AIR"/>
    <s v="Delhi Air"/>
    <n v="3429.3"/>
  </r>
  <r>
    <x v="9"/>
    <x v="25"/>
    <s v="CINMAR"/>
    <x v="2"/>
    <s v="CINCINNATI"/>
    <s v="SEA"/>
    <s v="JNPT"/>
    <n v="3581569.95"/>
  </r>
  <r>
    <x v="9"/>
    <x v="25"/>
    <s v="DUNELM (SOFT FURNISHINGS) LTD."/>
    <x v="11"/>
    <s v="LONDON GATWAY PORT"/>
    <s v="SEA"/>
    <s v="JNPT"/>
    <n v="399787.17"/>
  </r>
  <r>
    <x v="9"/>
    <x v="25"/>
    <s v="ZARA HOME ESPANA, S.A"/>
    <x v="7"/>
    <s v="Algeciras"/>
    <s v="SEA"/>
    <s v="JNPT"/>
    <n v="8138219.6100000003"/>
  </r>
  <r>
    <x v="9"/>
    <x v="25"/>
    <s v="ZARA HOME ESPANA, S.A"/>
    <x v="7"/>
    <s v="Valencia"/>
    <s v="SEA"/>
    <s v="JNPT"/>
    <n v="12140860.359999999"/>
  </r>
  <r>
    <x v="9"/>
    <x v="26"/>
    <s v="ZARA HOME ESPANA S.A"/>
    <x v="7"/>
    <s v="MADRID"/>
    <s v="AIR"/>
    <s v="Delhi Air"/>
    <n v="62604.810000000005"/>
  </r>
  <r>
    <x v="9"/>
    <x v="27"/>
    <s v="N/A"/>
    <x v="26"/>
    <s v="Toronto"/>
    <s v="SEA"/>
    <s v="Mundra"/>
    <n v="5307"/>
  </r>
  <r>
    <x v="9"/>
    <x v="27"/>
    <s v="N/A"/>
    <x v="20"/>
    <s v="Shanghai"/>
    <s v="SEA"/>
    <s v="Mundra"/>
    <n v="1061"/>
  </r>
  <r>
    <x v="9"/>
    <x v="27"/>
    <s v="N/A"/>
    <x v="3"/>
    <s v="N?rnberg"/>
    <s v="AIR"/>
    <s v="Delhi Air"/>
    <n v="33732"/>
  </r>
  <r>
    <x v="9"/>
    <x v="27"/>
    <s v="N/A"/>
    <x v="24"/>
    <s v="GENOVA"/>
    <s v="SEA"/>
    <s v="Mundra"/>
    <n v="84502"/>
  </r>
  <r>
    <x v="9"/>
    <x v="27"/>
    <s v="N/A"/>
    <x v="25"/>
    <s v="TOKYO"/>
    <s v="SEA"/>
    <s v="Mundra"/>
    <n v="4670"/>
  </r>
  <r>
    <x v="9"/>
    <x v="27"/>
    <s v="N/A"/>
    <x v="30"/>
    <s v="Veracruz"/>
    <s v="SEA"/>
    <s v="Mundra"/>
    <n v="2441"/>
  </r>
  <r>
    <x v="9"/>
    <x v="27"/>
    <s v="N/A"/>
    <x v="4"/>
    <s v="Rotterdam"/>
    <s v="SEA"/>
    <s v="Mundra"/>
    <n v="11676"/>
  </r>
  <r>
    <x v="9"/>
    <x v="27"/>
    <s v="N/A"/>
    <x v="12"/>
    <s v="Gdynia"/>
    <s v="SEA"/>
    <s v="Mundra"/>
    <n v="72070"/>
  </r>
  <r>
    <x v="9"/>
    <x v="27"/>
    <s v="N/A"/>
    <x v="28"/>
    <s v="PORT OF BUSAN"/>
    <s v="SEA"/>
    <s v="Mundra"/>
    <n v="1061"/>
  </r>
  <r>
    <x v="9"/>
    <x v="27"/>
    <s v="N/A"/>
    <x v="7"/>
    <s v="Valencia"/>
    <s v="SEA"/>
    <s v="JNPT"/>
    <n v="676060"/>
  </r>
  <r>
    <x v="9"/>
    <x v="27"/>
    <s v="N/A"/>
    <x v="7"/>
    <s v="Valencia"/>
    <s v="SEA"/>
    <s v="Mundra"/>
    <n v="8597"/>
  </r>
  <r>
    <x v="9"/>
    <x v="27"/>
    <s v="N/A"/>
    <x v="13"/>
    <s v="G?TEBORG"/>
    <s v="SEA"/>
    <s v="Mundra"/>
    <n v="13161"/>
  </r>
  <r>
    <x v="9"/>
    <x v="27"/>
    <s v="N/A"/>
    <x v="35"/>
    <s v="Jebel Ali"/>
    <s v="SEA"/>
    <s v="Mundra"/>
    <n v="3290"/>
  </r>
  <r>
    <x v="9"/>
    <x v="27"/>
    <s v="N/A"/>
    <x v="11"/>
    <s v="Felixstowe"/>
    <s v="SEA"/>
    <s v="Mundra"/>
    <n v="13374"/>
  </r>
  <r>
    <x v="9"/>
    <x v="27"/>
    <s v="N/A"/>
    <x v="2"/>
    <s v="Indianapolis"/>
    <s v="SEA"/>
    <s v="Mundra"/>
    <n v="15603"/>
  </r>
  <r>
    <x v="9"/>
    <x v="27"/>
    <s v="N/A"/>
    <x v="2"/>
    <s v="Oakland"/>
    <s v="SEA"/>
    <s v="Pakwara-Moradabad"/>
    <n v="2857984"/>
  </r>
  <r>
    <x v="9"/>
    <x v="27"/>
    <s v="N/A"/>
    <x v="32"/>
    <s v="ISTANBUL"/>
    <s v="SEA"/>
    <s v="Mundra"/>
    <n v="1061"/>
  </r>
  <r>
    <x v="9"/>
    <x v="28"/>
    <s v="ZARA HOME ESPANA, S.A"/>
    <x v="7"/>
    <s v="Algeciras"/>
    <s v="SEA"/>
    <s v="JNPT"/>
    <n v="673920"/>
  </r>
  <r>
    <x v="9"/>
    <x v="29"/>
    <s v="TARGET"/>
    <x v="2"/>
    <s v="Charleston"/>
    <s v="SEA"/>
    <s v="PALWAL ICD/HARYANA"/>
    <n v="9694301.6400000006"/>
  </r>
  <r>
    <x v="9"/>
    <x v="29"/>
    <s v="TARGET"/>
    <x v="2"/>
    <s v="Norfolk"/>
    <s v="SEA"/>
    <s v="PALWAL ICD/HARYANA"/>
    <n v="18264093.359999999"/>
  </r>
  <r>
    <x v="9"/>
    <x v="29"/>
    <s v="TARGET"/>
    <x v="2"/>
    <s v="Savannah"/>
    <s v="SEA"/>
    <s v="PALWAL ICD/HARYANA"/>
    <n v="12367001.01"/>
  </r>
  <r>
    <x v="9"/>
    <x v="30"/>
    <s v="CAMERON INGERSOLL"/>
    <x v="2"/>
    <s v="NEW YORK"/>
    <s v="AIR"/>
    <s v="Delhi Air"/>
    <n v="8059.5"/>
  </r>
  <r>
    <x v="9"/>
    <x v="30"/>
    <s v="GAIA MIN"/>
    <x v="2"/>
    <s v="NEW YORK"/>
    <s v="AIR"/>
    <s v="Delhi Air"/>
    <n v="6776"/>
  </r>
  <r>
    <x v="9"/>
    <x v="30"/>
    <s v="JOSH HONG"/>
    <x v="2"/>
    <s v="SAN FRANCISCO, CA"/>
    <s v="AIR"/>
    <s v="Delhi Air"/>
    <n v="8960"/>
  </r>
  <r>
    <x v="9"/>
    <x v="30"/>
    <s v="KATIE MILLHAM"/>
    <x v="2"/>
    <s v="NEW YORK"/>
    <s v="AIR"/>
    <s v="Delhi Air"/>
    <n v="8780"/>
  </r>
  <r>
    <x v="9"/>
    <x v="30"/>
    <s v="WILLIAMS SONOMA INC"/>
    <x v="11"/>
    <s v="BIRMINGHAM"/>
    <s v="AIR"/>
    <s v="Delhi Air"/>
    <n v="5999.84"/>
  </r>
  <r>
    <x v="9"/>
    <x v="30"/>
    <s v="ZARA HOME EDIFICIO INIDITEX"/>
    <x v="7"/>
    <s v="BARCELONA"/>
    <s v="AIR"/>
    <s v="Delhi Air"/>
    <n v="6142.5"/>
  </r>
  <r>
    <x v="9"/>
    <x v="31"/>
    <s v="WILLIAMS SONOMA SINGAPORE PTE LTD"/>
    <x v="14"/>
    <s v="SYDNEY"/>
    <s v="AIR"/>
    <s v="Delhi Air"/>
    <n v="42514.63"/>
  </r>
  <r>
    <x v="9"/>
    <x v="31"/>
    <s v="WILLIAMS-SONOMA SINGAPORE PTE LTD"/>
    <x v="11"/>
    <s v="LONDON - HEATHROW"/>
    <s v="AIR"/>
    <s v="Delhi Air"/>
    <n v="17441.16"/>
  </r>
  <r>
    <x v="9"/>
    <x v="32"/>
    <s v="WILLIAMS SONOMA SINGAPORE PTE LTD"/>
    <x v="2"/>
    <s v="NEW YORK"/>
    <s v="AIR"/>
    <s v="Delhi Air"/>
    <n v="13600.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8B6F21-AD00-40C4-B93A-7F3822DC18E7}" name="PivotTable1"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47" firstHeaderRow="1" firstDataRow="1" firstDataCol="2"/>
  <pivotFields count="8">
    <pivotField axis="axisRow" compact="0" outline="0" showAll="0">
      <items count="11">
        <item x="0"/>
        <item x="1"/>
        <item x="2"/>
        <item x="3"/>
        <item x="4"/>
        <item x="5"/>
        <item x="6"/>
        <item x="7"/>
        <item x="8"/>
        <item x="9"/>
        <item t="default"/>
      </items>
    </pivotField>
    <pivotField axis="axisRow" compact="0" outline="0" showAll="0" sortType="ascending">
      <items count="34">
        <item x="16"/>
        <item x="2"/>
        <item x="13"/>
        <item x="5"/>
        <item x="9"/>
        <item x="17"/>
        <item x="18"/>
        <item x="3"/>
        <item x="19"/>
        <item x="20"/>
        <item x="21"/>
        <item x="22"/>
        <item x="0"/>
        <item x="23"/>
        <item x="1"/>
        <item x="24"/>
        <item x="25"/>
        <item x="6"/>
        <item x="4"/>
        <item x="26"/>
        <item x="27"/>
        <item x="7"/>
        <item x="28"/>
        <item x="10"/>
        <item x="8"/>
        <item x="14"/>
        <item x="29"/>
        <item x="30"/>
        <item x="31"/>
        <item x="11"/>
        <item x="15"/>
        <item x="32"/>
        <item x="12"/>
        <item t="default"/>
      </items>
    </pivotField>
    <pivotField compact="0" outline="0" showAll="0"/>
    <pivotField compact="0" outline="0" showAll="0"/>
    <pivotField compact="0" outline="0" showAll="0"/>
    <pivotField compact="0" outline="0" showAll="0"/>
    <pivotField compact="0" outline="0" showAll="0"/>
    <pivotField dataField="1" compact="0" numFmtId="164" outline="0" showAll="0"/>
  </pivotFields>
  <rowFields count="2">
    <field x="0"/>
    <field x="1"/>
  </rowFields>
  <rowItems count="44">
    <i>
      <x/>
      <x v="12"/>
    </i>
    <i r="1">
      <x v="14"/>
    </i>
    <i t="default">
      <x/>
    </i>
    <i>
      <x v="1"/>
      <x v="1"/>
    </i>
    <i t="default">
      <x v="1"/>
    </i>
    <i>
      <x v="2"/>
      <x v="7"/>
    </i>
    <i t="default">
      <x v="2"/>
    </i>
    <i>
      <x v="3"/>
      <x v="18"/>
    </i>
    <i t="default">
      <x v="3"/>
    </i>
    <i>
      <x v="4"/>
      <x v="3"/>
    </i>
    <i t="default">
      <x v="4"/>
    </i>
    <i>
      <x v="5"/>
      <x v="17"/>
    </i>
    <i r="1">
      <x v="21"/>
    </i>
    <i r="1">
      <x v="24"/>
    </i>
    <i t="default">
      <x v="5"/>
    </i>
    <i>
      <x v="6"/>
      <x v="4"/>
    </i>
    <i r="1">
      <x v="23"/>
    </i>
    <i r="1">
      <x v="29"/>
    </i>
    <i r="1">
      <x v="32"/>
    </i>
    <i t="default">
      <x v="6"/>
    </i>
    <i>
      <x v="7"/>
      <x v="2"/>
    </i>
    <i r="1">
      <x v="25"/>
    </i>
    <i t="default">
      <x v="7"/>
    </i>
    <i>
      <x v="8"/>
      <x v="30"/>
    </i>
    <i t="default">
      <x v="8"/>
    </i>
    <i>
      <x v="9"/>
      <x/>
    </i>
    <i r="1">
      <x v="5"/>
    </i>
    <i r="1">
      <x v="6"/>
    </i>
    <i r="1">
      <x v="8"/>
    </i>
    <i r="1">
      <x v="9"/>
    </i>
    <i r="1">
      <x v="10"/>
    </i>
    <i r="1">
      <x v="11"/>
    </i>
    <i r="1">
      <x v="13"/>
    </i>
    <i r="1">
      <x v="15"/>
    </i>
    <i r="1">
      <x v="16"/>
    </i>
    <i r="1">
      <x v="19"/>
    </i>
    <i r="1">
      <x v="20"/>
    </i>
    <i r="1">
      <x v="22"/>
    </i>
    <i r="1">
      <x v="26"/>
    </i>
    <i r="1">
      <x v="27"/>
    </i>
    <i r="1">
      <x v="28"/>
    </i>
    <i r="1">
      <x v="31"/>
    </i>
    <i t="default">
      <x v="9"/>
    </i>
    <i t="grand">
      <x/>
    </i>
  </rowItems>
  <colItems count="1">
    <i/>
  </colItems>
  <dataFields count="1">
    <dataField name="Sum of Total"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CEBC2E-4646-4E5E-A2C9-BFD62A6BB77B}" name="PivotTable1"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A14" firstHeaderRow="1" firstDataRow="1" firstDataCol="1"/>
  <pivotFields count="8">
    <pivotField axis="axisRow" compact="0" outline="0" showAll="0">
      <items count="11">
        <item x="0"/>
        <item x="1"/>
        <item x="2"/>
        <item x="3"/>
        <item x="4"/>
        <item x="5"/>
        <item x="6"/>
        <item x="7"/>
        <item x="8"/>
        <item x="9"/>
        <item t="default"/>
      </items>
    </pivotField>
    <pivotField compact="0" outline="0" showAll="0">
      <items count="34">
        <item sd="0" x="16"/>
        <item sd="0" x="2"/>
        <item x="13"/>
        <item x="5"/>
        <item x="9"/>
        <item x="17"/>
        <item x="18"/>
        <item x="3"/>
        <item x="19"/>
        <item x="20"/>
        <item x="21"/>
        <item x="22"/>
        <item x="0"/>
        <item x="23"/>
        <item x="1"/>
        <item x="24"/>
        <item x="25"/>
        <item x="6"/>
        <item x="4"/>
        <item x="26"/>
        <item x="27"/>
        <item x="7"/>
        <item x="28"/>
        <item x="10"/>
        <item x="8"/>
        <item x="14"/>
        <item x="29"/>
        <item x="30"/>
        <item x="31"/>
        <item x="11"/>
        <item x="15"/>
        <item x="32"/>
        <item x="12"/>
        <item t="default"/>
      </items>
    </pivotField>
    <pivotField compact="0" outline="0" showAll="0"/>
    <pivotField compact="0" outline="0" showAll="0">
      <items count="39">
        <item x="14"/>
        <item x="18"/>
        <item x="5"/>
        <item x="8"/>
        <item x="26"/>
        <item x="31"/>
        <item x="20"/>
        <item x="36"/>
        <item x="23"/>
        <item x="10"/>
        <item x="3"/>
        <item x="37"/>
        <item x="24"/>
        <item x="25"/>
        <item x="21"/>
        <item x="30"/>
        <item x="9"/>
        <item x="4"/>
        <item x="6"/>
        <item x="33"/>
        <item x="19"/>
        <item x="27"/>
        <item x="12"/>
        <item x="28"/>
        <item x="1"/>
        <item x="22"/>
        <item x="16"/>
        <item x="7"/>
        <item x="13"/>
        <item x="17"/>
        <item x="29"/>
        <item x="34"/>
        <item x="32"/>
        <item x="35"/>
        <item x="11"/>
        <item x="2"/>
        <item x="15"/>
        <item x="0"/>
        <item t="default"/>
      </items>
    </pivotField>
    <pivotField compact="0" outline="0" showAll="0"/>
    <pivotField compact="0" outline="0" showAll="0"/>
    <pivotField compact="0" outline="0" showAll="0"/>
    <pivotField compact="0" numFmtId="164" outline="0" showAll="0"/>
  </pivotFields>
  <rowFields count="1">
    <field x="0"/>
  </rowFields>
  <rowItems count="11">
    <i>
      <x/>
    </i>
    <i>
      <x v="1"/>
    </i>
    <i>
      <x v="2"/>
    </i>
    <i>
      <x v="3"/>
    </i>
    <i>
      <x v="4"/>
    </i>
    <i>
      <x v="5"/>
    </i>
    <i>
      <x v="6"/>
    </i>
    <i>
      <x v="7"/>
    </i>
    <i>
      <x v="8"/>
    </i>
    <i>
      <x v="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info@vslrepower.com%20/%20ashwini.agarwal@vikramsolar.com" TargetMode="External"/><Relationship Id="rId7" Type="http://schemas.openxmlformats.org/officeDocument/2006/relationships/printerSettings" Target="../printerSettings/printerSettings1.bin"/><Relationship Id="rId2" Type="http://schemas.openxmlformats.org/officeDocument/2006/relationships/hyperlink" Target="mailto:siwachnaveen42@gmail.com" TargetMode="External"/><Relationship Id="rId1" Type="http://schemas.openxmlformats.org/officeDocument/2006/relationships/hyperlink" Target="mailto:saksham.sirotiya@gmail.com" TargetMode="External"/><Relationship Id="rId6" Type="http://schemas.openxmlformats.org/officeDocument/2006/relationships/hyperlink" Target="mailto:desh.deepak@sunpetro.comprojectseniorofficer" TargetMode="External"/><Relationship Id="rId5" Type="http://schemas.openxmlformats.org/officeDocument/2006/relationships/hyperlink" Target="mailto:gaurang.bhatt@adani.com" TargetMode="External"/><Relationship Id="rId4" Type="http://schemas.openxmlformats.org/officeDocument/2006/relationships/hyperlink" Target="mailto:abhishek.goyal@shyammetalics.com%20/%20contact@shyamgroup.com" TargetMode="Externa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hyperlink" Target="tel:4073770246" TargetMode="Externa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3BFF6-7125-4B77-A725-E180EBC36706}">
  <dimension ref="A2:AF57"/>
  <sheetViews>
    <sheetView zoomScale="57" zoomScaleNormal="85" workbookViewId="0">
      <pane xSplit="2" topLeftCell="I1" activePane="topRight" state="frozen"/>
      <selection activeCell="B1" sqref="B1"/>
      <selection pane="topRight" activeCell="W54" sqref="W54"/>
    </sheetView>
  </sheetViews>
  <sheetFormatPr baseColWidth="10" defaultColWidth="9.1640625" defaultRowHeight="15" x14ac:dyDescent="0.2"/>
  <cols>
    <col min="2" max="2" width="25.6640625" customWidth="1"/>
    <col min="3" max="3" width="29.1640625" style="33" customWidth="1"/>
    <col min="4" max="5" width="15.6640625" customWidth="1"/>
    <col min="6" max="6" width="20.6640625" customWidth="1"/>
    <col min="7" max="7" width="15.6640625" customWidth="1"/>
    <col min="8" max="8" width="31.1640625" customWidth="1"/>
    <col min="9" max="9" width="11.5" customWidth="1"/>
    <col min="10" max="10" width="15.6640625" customWidth="1"/>
    <col min="11" max="11" width="24.33203125" customWidth="1"/>
    <col min="12" max="12" width="12.6640625" customWidth="1"/>
    <col min="13" max="13" width="15.6640625" customWidth="1"/>
    <col min="14" max="14" width="149.83203125" style="4" customWidth="1"/>
    <col min="15" max="15" width="28.5" customWidth="1"/>
    <col min="16" max="18" width="15.6640625" customWidth="1"/>
    <col min="19" max="19" width="19.33203125" customWidth="1"/>
    <col min="20" max="20" width="31.5" customWidth="1"/>
    <col min="21" max="21" width="26.5" customWidth="1"/>
    <col min="22" max="22" width="29.6640625" customWidth="1"/>
    <col min="23" max="23" width="42.33203125" customWidth="1"/>
    <col min="24" max="24" width="25.33203125" customWidth="1"/>
    <col min="25" max="28" width="15.6640625" style="3" customWidth="1"/>
    <col min="29" max="29" width="26.6640625" style="3" customWidth="1"/>
    <col min="30" max="31" width="15.6640625" style="3" customWidth="1"/>
    <col min="32" max="32" width="15.6640625" customWidth="1"/>
  </cols>
  <sheetData>
    <row r="2" spans="1:32" ht="32" x14ac:dyDescent="0.2">
      <c r="A2" s="11" t="s">
        <v>0</v>
      </c>
      <c r="B2" s="34" t="s">
        <v>1</v>
      </c>
      <c r="C2" s="31" t="s">
        <v>2</v>
      </c>
      <c r="D2" s="12" t="s">
        <v>3</v>
      </c>
      <c r="E2" s="12" t="s">
        <v>4</v>
      </c>
      <c r="F2" s="12" t="s">
        <v>5</v>
      </c>
      <c r="G2" s="12" t="s">
        <v>6</v>
      </c>
      <c r="H2" s="13" t="s">
        <v>7</v>
      </c>
      <c r="I2" s="12" t="s">
        <v>8</v>
      </c>
      <c r="J2" s="12" t="s">
        <v>9</v>
      </c>
      <c r="K2" s="12" t="s">
        <v>10</v>
      </c>
      <c r="L2" s="12" t="s">
        <v>11</v>
      </c>
      <c r="M2" s="12" t="s">
        <v>12</v>
      </c>
      <c r="N2" s="12" t="s">
        <v>13</v>
      </c>
      <c r="O2" s="12" t="s">
        <v>14</v>
      </c>
      <c r="P2" s="12" t="s">
        <v>15</v>
      </c>
      <c r="Q2" s="12" t="s">
        <v>16</v>
      </c>
      <c r="R2" s="12" t="s">
        <v>17</v>
      </c>
      <c r="S2" s="12" t="s">
        <v>18</v>
      </c>
      <c r="T2" s="12" t="s">
        <v>19</v>
      </c>
      <c r="U2" s="13" t="s">
        <v>20</v>
      </c>
      <c r="V2" s="13" t="s">
        <v>21</v>
      </c>
      <c r="W2" s="13" t="s">
        <v>22</v>
      </c>
      <c r="X2" s="14" t="s">
        <v>23</v>
      </c>
      <c r="Y2" s="14" t="s">
        <v>24</v>
      </c>
      <c r="Z2" s="15" t="s">
        <v>25</v>
      </c>
      <c r="AA2" s="15" t="s">
        <v>26</v>
      </c>
      <c r="AB2" s="15" t="s">
        <v>27</v>
      </c>
      <c r="AC2" s="15" t="s">
        <v>28</v>
      </c>
      <c r="AD2" s="15" t="s">
        <v>29</v>
      </c>
      <c r="AE2" s="15" t="s">
        <v>30</v>
      </c>
    </row>
    <row r="3" spans="1:32" s="2" customFormat="1" ht="155.25" customHeight="1" x14ac:dyDescent="0.2">
      <c r="A3" s="16">
        <v>6235</v>
      </c>
      <c r="B3" s="35" t="s">
        <v>31</v>
      </c>
      <c r="C3" s="32" t="s">
        <v>32</v>
      </c>
      <c r="D3" s="16" t="s">
        <v>33</v>
      </c>
      <c r="E3" s="16" t="s">
        <v>34</v>
      </c>
      <c r="F3" s="16" t="s">
        <v>35</v>
      </c>
      <c r="G3" s="16">
        <v>1824.1</v>
      </c>
      <c r="H3" s="16" t="s">
        <v>36</v>
      </c>
      <c r="I3" s="17">
        <v>46260</v>
      </c>
      <c r="J3" s="16" t="s">
        <v>37</v>
      </c>
      <c r="K3" s="16" t="s">
        <v>38</v>
      </c>
      <c r="L3" s="16" t="s">
        <v>39</v>
      </c>
      <c r="M3" s="16" t="s">
        <v>40</v>
      </c>
      <c r="N3" s="18" t="s">
        <v>41</v>
      </c>
      <c r="O3" s="16" t="s">
        <v>42</v>
      </c>
      <c r="P3" s="16" t="s">
        <v>39</v>
      </c>
      <c r="Q3" s="16">
        <v>370140</v>
      </c>
      <c r="R3" s="16" t="s">
        <v>40</v>
      </c>
      <c r="S3" s="16" t="s">
        <v>43</v>
      </c>
      <c r="T3" s="16" t="s">
        <v>44</v>
      </c>
      <c r="U3" s="16" t="s">
        <v>45</v>
      </c>
      <c r="V3" s="16" t="s">
        <v>46</v>
      </c>
      <c r="W3" s="19" t="s">
        <v>47</v>
      </c>
      <c r="X3" s="19" t="s">
        <v>48</v>
      </c>
      <c r="Y3" s="20" t="s">
        <v>49</v>
      </c>
      <c r="Z3" s="16" t="s">
        <v>49</v>
      </c>
      <c r="AA3" s="16"/>
      <c r="AB3" s="16"/>
      <c r="AC3" s="16" t="s">
        <v>50</v>
      </c>
      <c r="AD3" s="16" t="s">
        <v>51</v>
      </c>
      <c r="AE3" s="16"/>
      <c r="AF3"/>
    </row>
    <row r="4" spans="1:32" s="1" customFormat="1" ht="150" customHeight="1" x14ac:dyDescent="0.2">
      <c r="A4" s="16">
        <v>6236</v>
      </c>
      <c r="B4" s="35" t="s">
        <v>52</v>
      </c>
      <c r="C4" s="32" t="s">
        <v>53</v>
      </c>
      <c r="D4" s="16" t="s">
        <v>54</v>
      </c>
      <c r="E4" s="16" t="s">
        <v>34</v>
      </c>
      <c r="F4" s="16" t="s">
        <v>55</v>
      </c>
      <c r="G4" s="16">
        <v>15000</v>
      </c>
      <c r="H4" s="16" t="s">
        <v>56</v>
      </c>
      <c r="I4" s="16"/>
      <c r="J4" s="16" t="s">
        <v>57</v>
      </c>
      <c r="K4" s="16"/>
      <c r="L4" s="16" t="s">
        <v>58</v>
      </c>
      <c r="M4" s="16" t="s">
        <v>59</v>
      </c>
      <c r="N4" s="18" t="s">
        <v>60</v>
      </c>
      <c r="O4" s="16" t="s">
        <v>61</v>
      </c>
      <c r="P4" s="16" t="s">
        <v>62</v>
      </c>
      <c r="Q4" s="16">
        <v>382421</v>
      </c>
      <c r="R4" s="16" t="s">
        <v>40</v>
      </c>
      <c r="S4" s="16" t="s">
        <v>63</v>
      </c>
      <c r="T4" s="16"/>
      <c r="U4" s="16" t="s">
        <v>64</v>
      </c>
      <c r="V4" s="16" t="s">
        <v>65</v>
      </c>
      <c r="W4" s="16" t="s">
        <v>66</v>
      </c>
      <c r="X4" s="19" t="s">
        <v>48</v>
      </c>
      <c r="Y4" s="16" t="s">
        <v>49</v>
      </c>
      <c r="Z4" s="16" t="s">
        <v>49</v>
      </c>
      <c r="AA4" s="16"/>
      <c r="AB4" s="16"/>
      <c r="AC4" s="16" t="s">
        <v>67</v>
      </c>
      <c r="AD4" s="16" t="s">
        <v>68</v>
      </c>
      <c r="AE4" s="16"/>
      <c r="AF4"/>
    </row>
    <row r="5" spans="1:32" s="1" customFormat="1" ht="150" customHeight="1" x14ac:dyDescent="0.2">
      <c r="A5" s="16">
        <v>6237</v>
      </c>
      <c r="B5" s="35" t="s">
        <v>69</v>
      </c>
      <c r="C5" s="32" t="s">
        <v>70</v>
      </c>
      <c r="D5" s="16" t="s">
        <v>33</v>
      </c>
      <c r="E5" s="16" t="s">
        <v>34</v>
      </c>
      <c r="F5" s="16" t="s">
        <v>71</v>
      </c>
      <c r="G5" s="16">
        <v>10000</v>
      </c>
      <c r="H5" s="16" t="s">
        <v>72</v>
      </c>
      <c r="I5" s="16"/>
      <c r="J5" s="16" t="s">
        <v>57</v>
      </c>
      <c r="K5" s="16" t="s">
        <v>73</v>
      </c>
      <c r="L5" s="16" t="s">
        <v>74</v>
      </c>
      <c r="M5" s="16" t="s">
        <v>75</v>
      </c>
      <c r="N5" s="18" t="s">
        <v>76</v>
      </c>
      <c r="O5" s="16" t="s">
        <v>77</v>
      </c>
      <c r="P5" s="16" t="s">
        <v>74</v>
      </c>
      <c r="Q5" s="16">
        <v>226020</v>
      </c>
      <c r="R5" s="16" t="s">
        <v>75</v>
      </c>
      <c r="S5" s="16" t="s">
        <v>78</v>
      </c>
      <c r="T5" s="16" t="s">
        <v>79</v>
      </c>
      <c r="U5" s="16" t="s">
        <v>80</v>
      </c>
      <c r="V5" s="16"/>
      <c r="W5" s="22" t="s">
        <v>81</v>
      </c>
      <c r="X5" s="19" t="s">
        <v>48</v>
      </c>
      <c r="Y5" s="16" t="s">
        <v>49</v>
      </c>
      <c r="Z5" s="16"/>
      <c r="AA5" s="16"/>
      <c r="AB5" s="16"/>
      <c r="AC5" s="16" t="s">
        <v>82</v>
      </c>
      <c r="AD5" s="16" t="s">
        <v>83</v>
      </c>
      <c r="AE5" s="16"/>
      <c r="AF5"/>
    </row>
    <row r="6" spans="1:32" s="1" customFormat="1" ht="150" customHeight="1" x14ac:dyDescent="0.2">
      <c r="A6" s="16">
        <v>6238</v>
      </c>
      <c r="B6" s="35" t="s">
        <v>84</v>
      </c>
      <c r="C6" s="32" t="s">
        <v>85</v>
      </c>
      <c r="D6" s="16" t="s">
        <v>54</v>
      </c>
      <c r="E6" s="16" t="s">
        <v>86</v>
      </c>
      <c r="F6" s="16" t="s">
        <v>87</v>
      </c>
      <c r="G6" s="16">
        <v>15070</v>
      </c>
      <c r="H6" s="16" t="s">
        <v>88</v>
      </c>
      <c r="I6" s="17">
        <v>46322</v>
      </c>
      <c r="J6" s="16" t="s">
        <v>37</v>
      </c>
      <c r="K6" s="16" t="s">
        <v>89</v>
      </c>
      <c r="L6" s="16" t="s">
        <v>90</v>
      </c>
      <c r="M6" s="16" t="s">
        <v>91</v>
      </c>
      <c r="N6" s="18" t="s">
        <v>92</v>
      </c>
      <c r="O6" s="16" t="s">
        <v>93</v>
      </c>
      <c r="P6" s="16" t="s">
        <v>90</v>
      </c>
      <c r="Q6" s="16">
        <v>324007</v>
      </c>
      <c r="R6" s="16" t="s">
        <v>91</v>
      </c>
      <c r="S6" s="16" t="s">
        <v>94</v>
      </c>
      <c r="T6" s="16" t="s">
        <v>95</v>
      </c>
      <c r="U6" s="16" t="s">
        <v>96</v>
      </c>
      <c r="V6" s="16" t="s">
        <v>97</v>
      </c>
      <c r="W6" s="22" t="s">
        <v>98</v>
      </c>
      <c r="X6" s="19" t="s">
        <v>48</v>
      </c>
      <c r="Y6" s="16" t="s">
        <v>49</v>
      </c>
      <c r="Z6" s="16"/>
      <c r="AA6" s="16"/>
      <c r="AB6" s="16"/>
      <c r="AC6" s="16" t="s">
        <v>99</v>
      </c>
      <c r="AD6" s="16"/>
      <c r="AE6" s="16"/>
      <c r="AF6"/>
    </row>
    <row r="7" spans="1:32" s="1" customFormat="1" ht="150" customHeight="1" x14ac:dyDescent="0.2">
      <c r="A7" s="16">
        <v>6239</v>
      </c>
      <c r="B7" s="35" t="s">
        <v>100</v>
      </c>
      <c r="C7" s="32" t="s">
        <v>101</v>
      </c>
      <c r="D7" s="16" t="s">
        <v>54</v>
      </c>
      <c r="E7" s="16" t="s">
        <v>34</v>
      </c>
      <c r="F7" s="16" t="s">
        <v>102</v>
      </c>
      <c r="G7" s="16">
        <v>8240</v>
      </c>
      <c r="H7" s="16" t="s">
        <v>103</v>
      </c>
      <c r="I7" s="17">
        <v>46049</v>
      </c>
      <c r="J7" s="16" t="s">
        <v>37</v>
      </c>
      <c r="K7" s="16" t="s">
        <v>104</v>
      </c>
      <c r="L7" s="16" t="s">
        <v>105</v>
      </c>
      <c r="M7" s="16" t="s">
        <v>75</v>
      </c>
      <c r="N7" s="18" t="s">
        <v>106</v>
      </c>
      <c r="O7" s="16" t="s">
        <v>107</v>
      </c>
      <c r="P7" s="16" t="s">
        <v>105</v>
      </c>
      <c r="Q7" s="16">
        <v>281403</v>
      </c>
      <c r="R7" s="16" t="s">
        <v>75</v>
      </c>
      <c r="S7" s="16" t="s">
        <v>108</v>
      </c>
      <c r="T7" s="16"/>
      <c r="U7" s="16" t="s">
        <v>109</v>
      </c>
      <c r="V7" s="16" t="s">
        <v>110</v>
      </c>
      <c r="W7" s="16" t="s">
        <v>111</v>
      </c>
      <c r="X7" s="19" t="s">
        <v>48</v>
      </c>
      <c r="Y7" s="16" t="s">
        <v>49</v>
      </c>
      <c r="Z7" s="16"/>
      <c r="AA7" s="16"/>
      <c r="AB7" s="16"/>
      <c r="AC7" s="16" t="s">
        <v>112</v>
      </c>
      <c r="AD7" s="16" t="s">
        <v>113</v>
      </c>
      <c r="AE7" s="16"/>
      <c r="AF7"/>
    </row>
    <row r="8" spans="1:32" s="1" customFormat="1" ht="150" customHeight="1" x14ac:dyDescent="0.2">
      <c r="A8" s="16">
        <v>6240</v>
      </c>
      <c r="B8" s="35" t="s">
        <v>114</v>
      </c>
      <c r="C8" s="32" t="s">
        <v>115</v>
      </c>
      <c r="D8" s="16" t="s">
        <v>54</v>
      </c>
      <c r="E8" s="16" t="s">
        <v>34</v>
      </c>
      <c r="F8" s="16" t="s">
        <v>87</v>
      </c>
      <c r="G8" s="16">
        <v>2600</v>
      </c>
      <c r="H8" s="16" t="s">
        <v>116</v>
      </c>
      <c r="I8" s="16"/>
      <c r="J8" s="16" t="s">
        <v>57</v>
      </c>
      <c r="K8" s="16" t="s">
        <v>117</v>
      </c>
      <c r="L8" s="16" t="s">
        <v>118</v>
      </c>
      <c r="M8" s="16" t="s">
        <v>59</v>
      </c>
      <c r="N8" s="18" t="s">
        <v>119</v>
      </c>
      <c r="O8" s="16" t="s">
        <v>120</v>
      </c>
      <c r="P8" s="16" t="s">
        <v>118</v>
      </c>
      <c r="Q8" s="16">
        <v>454775</v>
      </c>
      <c r="R8" s="16" t="s">
        <v>59</v>
      </c>
      <c r="S8" s="16" t="s">
        <v>121</v>
      </c>
      <c r="T8" s="16"/>
      <c r="U8" s="16" t="s">
        <v>122</v>
      </c>
      <c r="V8" s="16" t="s">
        <v>123</v>
      </c>
      <c r="W8" s="16" t="s">
        <v>124</v>
      </c>
      <c r="X8" s="19" t="s">
        <v>125</v>
      </c>
      <c r="Y8" s="16" t="s">
        <v>49</v>
      </c>
      <c r="Z8" s="16"/>
      <c r="AA8" s="16"/>
      <c r="AB8" s="16"/>
      <c r="AC8" s="16" t="s">
        <v>126</v>
      </c>
      <c r="AD8" s="16" t="s">
        <v>127</v>
      </c>
      <c r="AE8" s="16"/>
      <c r="AF8"/>
    </row>
    <row r="9" spans="1:32" s="1" customFormat="1" ht="150" customHeight="1" x14ac:dyDescent="0.2">
      <c r="A9" s="16">
        <v>6242</v>
      </c>
      <c r="B9" s="38" t="s">
        <v>128</v>
      </c>
      <c r="C9" s="32" t="s">
        <v>129</v>
      </c>
      <c r="D9" s="16" t="s">
        <v>54</v>
      </c>
      <c r="E9" s="16" t="s">
        <v>34</v>
      </c>
      <c r="F9" s="16" t="s">
        <v>130</v>
      </c>
      <c r="G9" s="16">
        <v>9047.7999999999993</v>
      </c>
      <c r="H9" s="16" t="s">
        <v>131</v>
      </c>
      <c r="I9" s="16"/>
      <c r="J9" s="16" t="s">
        <v>57</v>
      </c>
      <c r="K9" s="16" t="s">
        <v>132</v>
      </c>
      <c r="L9" s="16" t="s">
        <v>133</v>
      </c>
      <c r="M9" s="16" t="s">
        <v>134</v>
      </c>
      <c r="N9" s="18" t="s">
        <v>135</v>
      </c>
      <c r="O9" s="16" t="s">
        <v>136</v>
      </c>
      <c r="P9" s="16" t="s">
        <v>137</v>
      </c>
      <c r="Q9" s="16">
        <v>713301</v>
      </c>
      <c r="R9" s="16" t="s">
        <v>138</v>
      </c>
      <c r="S9" s="16" t="s">
        <v>139</v>
      </c>
      <c r="T9" s="16" t="s">
        <v>140</v>
      </c>
      <c r="U9" s="16" t="s">
        <v>141</v>
      </c>
      <c r="V9" s="16" t="s">
        <v>142</v>
      </c>
      <c r="W9" s="16" t="s">
        <v>143</v>
      </c>
      <c r="X9" s="19" t="s">
        <v>144</v>
      </c>
      <c r="Y9" s="16" t="s">
        <v>49</v>
      </c>
      <c r="Z9" s="16"/>
      <c r="AA9" s="16" t="s">
        <v>145</v>
      </c>
      <c r="AB9" s="16"/>
      <c r="AC9" s="16"/>
      <c r="AD9" s="16"/>
      <c r="AE9" s="16"/>
      <c r="AF9"/>
    </row>
    <row r="10" spans="1:32" s="1" customFormat="1" ht="150" customHeight="1" x14ac:dyDescent="0.2">
      <c r="A10" s="16">
        <v>6243</v>
      </c>
      <c r="B10" s="35" t="s">
        <v>146</v>
      </c>
      <c r="C10" s="32" t="s">
        <v>147</v>
      </c>
      <c r="D10" s="16" t="s">
        <v>54</v>
      </c>
      <c r="E10" s="16" t="s">
        <v>34</v>
      </c>
      <c r="F10" s="16" t="s">
        <v>148</v>
      </c>
      <c r="G10" s="16">
        <v>5500</v>
      </c>
      <c r="H10" s="16" t="s">
        <v>149</v>
      </c>
      <c r="I10" s="17">
        <v>46169</v>
      </c>
      <c r="J10" s="16" t="s">
        <v>37</v>
      </c>
      <c r="K10" s="16" t="s">
        <v>150</v>
      </c>
      <c r="L10" s="16" t="s">
        <v>151</v>
      </c>
      <c r="M10" s="16" t="s">
        <v>152</v>
      </c>
      <c r="N10" s="18" t="s">
        <v>153</v>
      </c>
      <c r="O10" s="16" t="s">
        <v>154</v>
      </c>
      <c r="P10" s="16" t="s">
        <v>155</v>
      </c>
      <c r="Q10" s="16">
        <v>360021</v>
      </c>
      <c r="R10" s="16" t="s">
        <v>40</v>
      </c>
      <c r="S10" s="16" t="s">
        <v>156</v>
      </c>
      <c r="T10" s="16" t="s">
        <v>157</v>
      </c>
      <c r="U10" s="16" t="s">
        <v>158</v>
      </c>
      <c r="V10" s="16" t="s">
        <v>159</v>
      </c>
      <c r="W10" s="16" t="s">
        <v>160</v>
      </c>
      <c r="X10" s="19" t="s">
        <v>144</v>
      </c>
      <c r="Y10" s="16" t="s">
        <v>49</v>
      </c>
      <c r="Z10" s="16"/>
      <c r="AA10" s="16"/>
      <c r="AB10" s="16"/>
      <c r="AC10" s="16" t="s">
        <v>112</v>
      </c>
      <c r="AD10" s="16"/>
      <c r="AE10" s="16"/>
      <c r="AF10"/>
    </row>
    <row r="11" spans="1:32" s="1" customFormat="1" ht="150" customHeight="1" x14ac:dyDescent="0.2">
      <c r="A11" s="16">
        <v>6244</v>
      </c>
      <c r="B11" s="35" t="s">
        <v>161</v>
      </c>
      <c r="C11" s="32" t="s">
        <v>162</v>
      </c>
      <c r="D11" s="16" t="s">
        <v>54</v>
      </c>
      <c r="E11" s="16" t="s">
        <v>34</v>
      </c>
      <c r="F11" s="16" t="s">
        <v>163</v>
      </c>
      <c r="G11" s="16">
        <v>3913.8</v>
      </c>
      <c r="H11" s="16" t="s">
        <v>164</v>
      </c>
      <c r="I11" s="16"/>
      <c r="J11" s="16" t="s">
        <v>57</v>
      </c>
      <c r="K11" s="16"/>
      <c r="L11" s="16" t="s">
        <v>165</v>
      </c>
      <c r="M11" s="16" t="s">
        <v>75</v>
      </c>
      <c r="N11" s="18" t="s">
        <v>166</v>
      </c>
      <c r="O11" s="16" t="s">
        <v>167</v>
      </c>
      <c r="P11" s="16" t="s">
        <v>168</v>
      </c>
      <c r="Q11" s="16">
        <v>500062</v>
      </c>
      <c r="R11" s="16" t="s">
        <v>169</v>
      </c>
      <c r="S11" s="16" t="s">
        <v>170</v>
      </c>
      <c r="T11" s="16" t="s">
        <v>171</v>
      </c>
      <c r="U11" s="16" t="s">
        <v>172</v>
      </c>
      <c r="V11" s="16" t="s">
        <v>173</v>
      </c>
      <c r="W11" s="16" t="s">
        <v>174</v>
      </c>
      <c r="X11" s="19" t="s">
        <v>144</v>
      </c>
      <c r="Y11" s="16" t="s">
        <v>49</v>
      </c>
      <c r="Z11" s="16"/>
      <c r="AA11" s="16"/>
      <c r="AB11" s="16"/>
      <c r="AC11" s="16" t="s">
        <v>175</v>
      </c>
      <c r="AD11" s="16" t="s">
        <v>176</v>
      </c>
      <c r="AE11" s="16"/>
      <c r="AF11"/>
    </row>
    <row r="12" spans="1:32" s="1" customFormat="1" ht="150" customHeight="1" x14ac:dyDescent="0.2">
      <c r="A12" s="16">
        <v>6245</v>
      </c>
      <c r="B12" s="35" t="s">
        <v>177</v>
      </c>
      <c r="C12" s="32" t="s">
        <v>178</v>
      </c>
      <c r="D12" s="16" t="s">
        <v>33</v>
      </c>
      <c r="E12" s="16" t="s">
        <v>34</v>
      </c>
      <c r="F12" s="16" t="s">
        <v>71</v>
      </c>
      <c r="G12" s="16">
        <v>660</v>
      </c>
      <c r="H12" s="16" t="s">
        <v>179</v>
      </c>
      <c r="I12" s="17">
        <v>46111</v>
      </c>
      <c r="J12" s="16" t="s">
        <v>37</v>
      </c>
      <c r="K12" s="16" t="s">
        <v>180</v>
      </c>
      <c r="L12" s="16" t="s">
        <v>181</v>
      </c>
      <c r="M12" s="16" t="s">
        <v>182</v>
      </c>
      <c r="N12" s="18" t="s">
        <v>183</v>
      </c>
      <c r="O12" s="16" t="s">
        <v>184</v>
      </c>
      <c r="P12" s="16" t="s">
        <v>181</v>
      </c>
      <c r="Q12" s="16">
        <v>641201</v>
      </c>
      <c r="R12" s="16" t="s">
        <v>182</v>
      </c>
      <c r="S12" s="16" t="s">
        <v>185</v>
      </c>
      <c r="T12" s="16" t="s">
        <v>186</v>
      </c>
      <c r="U12" s="16" t="s">
        <v>187</v>
      </c>
      <c r="V12" s="16" t="s">
        <v>188</v>
      </c>
      <c r="W12" s="16" t="s">
        <v>189</v>
      </c>
      <c r="X12" s="19" t="s">
        <v>48</v>
      </c>
      <c r="Y12" s="16" t="s">
        <v>49</v>
      </c>
      <c r="Z12" s="16"/>
      <c r="AA12" s="16"/>
      <c r="AB12" s="16"/>
      <c r="AC12" s="16" t="s">
        <v>190</v>
      </c>
      <c r="AD12" s="16" t="s">
        <v>83</v>
      </c>
      <c r="AE12" s="16"/>
      <c r="AF12"/>
    </row>
    <row r="13" spans="1:32" s="23" customFormat="1" ht="150" customHeight="1" x14ac:dyDescent="0.2">
      <c r="A13" s="21"/>
      <c r="B13" s="35" t="s">
        <v>191</v>
      </c>
      <c r="C13" s="32" t="s">
        <v>192</v>
      </c>
      <c r="D13" s="16" t="s">
        <v>54</v>
      </c>
      <c r="E13" s="16" t="s">
        <v>34</v>
      </c>
      <c r="F13" s="16" t="s">
        <v>193</v>
      </c>
      <c r="G13" s="16">
        <v>3230</v>
      </c>
      <c r="H13" s="16" t="s">
        <v>194</v>
      </c>
      <c r="I13" s="16"/>
      <c r="J13" s="16" t="s">
        <v>57</v>
      </c>
      <c r="K13" s="16" t="s">
        <v>195</v>
      </c>
      <c r="L13" s="16" t="s">
        <v>181</v>
      </c>
      <c r="M13" s="16" t="s">
        <v>182</v>
      </c>
      <c r="N13" s="16" t="s">
        <v>196</v>
      </c>
      <c r="O13" s="16" t="s">
        <v>197</v>
      </c>
      <c r="P13" s="16" t="s">
        <v>195</v>
      </c>
      <c r="Q13" s="16">
        <v>641401</v>
      </c>
      <c r="R13" s="16" t="s">
        <v>182</v>
      </c>
      <c r="S13" s="16" t="s">
        <v>198</v>
      </c>
      <c r="T13" s="16" t="s">
        <v>199</v>
      </c>
      <c r="U13" s="16" t="s">
        <v>200</v>
      </c>
      <c r="V13" s="16" t="s">
        <v>201</v>
      </c>
      <c r="W13" s="16"/>
      <c r="X13" s="16" t="s">
        <v>202</v>
      </c>
      <c r="Y13" s="16" t="s">
        <v>49</v>
      </c>
      <c r="Z13" s="16"/>
      <c r="AA13" s="16"/>
      <c r="AB13" s="16"/>
      <c r="AC13" s="16" t="s">
        <v>203</v>
      </c>
      <c r="AD13" s="16" t="s">
        <v>204</v>
      </c>
      <c r="AE13" s="16"/>
      <c r="AF13"/>
    </row>
    <row r="14" spans="1:32" s="23" customFormat="1" ht="150" customHeight="1" x14ac:dyDescent="0.2">
      <c r="A14" s="8"/>
      <c r="B14" s="35" t="s">
        <v>205</v>
      </c>
      <c r="C14" s="32" t="s">
        <v>206</v>
      </c>
      <c r="D14" s="16" t="s">
        <v>54</v>
      </c>
      <c r="E14" s="16" t="s">
        <v>34</v>
      </c>
      <c r="F14" s="16" t="s">
        <v>102</v>
      </c>
      <c r="G14" s="16">
        <v>30000</v>
      </c>
      <c r="H14" s="16" t="s">
        <v>207</v>
      </c>
      <c r="I14" s="16"/>
      <c r="J14" s="16" t="s">
        <v>57</v>
      </c>
      <c r="K14" s="16" t="s">
        <v>181</v>
      </c>
      <c r="L14" s="16" t="s">
        <v>181</v>
      </c>
      <c r="M14" s="16" t="s">
        <v>182</v>
      </c>
      <c r="N14" s="16" t="s">
        <v>208</v>
      </c>
      <c r="O14" s="16" t="s">
        <v>209</v>
      </c>
      <c r="P14" s="16" t="s">
        <v>210</v>
      </c>
      <c r="Q14" s="16">
        <v>560078</v>
      </c>
      <c r="R14" s="16" t="s">
        <v>152</v>
      </c>
      <c r="S14" s="16" t="s">
        <v>211</v>
      </c>
      <c r="T14" s="16" t="s">
        <v>212</v>
      </c>
      <c r="U14" s="16" t="s">
        <v>213</v>
      </c>
      <c r="V14" s="16"/>
      <c r="W14" s="16"/>
      <c r="X14" s="16" t="s">
        <v>202</v>
      </c>
      <c r="Y14" s="16"/>
      <c r="Z14" s="16"/>
      <c r="AA14" s="16"/>
      <c r="AB14" s="16"/>
      <c r="AC14" s="16" t="s">
        <v>214</v>
      </c>
      <c r="AD14" s="16"/>
      <c r="AE14" s="16"/>
      <c r="AF14"/>
    </row>
    <row r="15" spans="1:32" s="23" customFormat="1" ht="150" customHeight="1" x14ac:dyDescent="0.2">
      <c r="A15" s="8"/>
      <c r="B15" s="38" t="s">
        <v>215</v>
      </c>
      <c r="C15" s="32" t="s">
        <v>216</v>
      </c>
      <c r="D15" s="16" t="s">
        <v>33</v>
      </c>
      <c r="E15" s="16" t="s">
        <v>34</v>
      </c>
      <c r="F15" s="16" t="s">
        <v>102</v>
      </c>
      <c r="G15" s="16">
        <v>500</v>
      </c>
      <c r="H15" s="16" t="s">
        <v>217</v>
      </c>
      <c r="I15" s="16"/>
      <c r="J15" s="16" t="s">
        <v>57</v>
      </c>
      <c r="K15" s="16" t="s">
        <v>218</v>
      </c>
      <c r="L15" s="16" t="s">
        <v>219</v>
      </c>
      <c r="M15" s="16" t="s">
        <v>182</v>
      </c>
      <c r="N15" s="16" t="s">
        <v>220</v>
      </c>
      <c r="O15" s="16" t="s">
        <v>221</v>
      </c>
      <c r="P15" s="16" t="s">
        <v>222</v>
      </c>
      <c r="Q15" s="16">
        <v>122050</v>
      </c>
      <c r="R15" s="16" t="s">
        <v>223</v>
      </c>
      <c r="S15" s="16" t="s">
        <v>224</v>
      </c>
      <c r="T15" s="16"/>
      <c r="U15" s="16" t="s">
        <v>225</v>
      </c>
      <c r="V15" s="16" t="s">
        <v>226</v>
      </c>
      <c r="W15" s="16" t="s">
        <v>227</v>
      </c>
      <c r="X15" s="16" t="s">
        <v>202</v>
      </c>
      <c r="Y15" s="16" t="s">
        <v>49</v>
      </c>
      <c r="Z15" s="16"/>
      <c r="AA15" s="16" t="s">
        <v>228</v>
      </c>
      <c r="AB15" s="16"/>
      <c r="AC15" s="16" t="s">
        <v>229</v>
      </c>
      <c r="AD15" s="16"/>
      <c r="AE15" s="16"/>
      <c r="AF15"/>
    </row>
    <row r="16" spans="1:32" s="23" customFormat="1" ht="150" customHeight="1" x14ac:dyDescent="0.2">
      <c r="A16" s="8"/>
      <c r="B16" s="35" t="s">
        <v>230</v>
      </c>
      <c r="C16" s="32" t="s">
        <v>231</v>
      </c>
      <c r="D16" s="16" t="s">
        <v>54</v>
      </c>
      <c r="E16" s="16" t="s">
        <v>86</v>
      </c>
      <c r="F16" s="16" t="s">
        <v>87</v>
      </c>
      <c r="G16" s="16">
        <v>1524.4</v>
      </c>
      <c r="H16" s="16" t="s">
        <v>232</v>
      </c>
      <c r="I16" s="17">
        <v>46079</v>
      </c>
      <c r="J16" s="16" t="s">
        <v>37</v>
      </c>
      <c r="K16" s="16"/>
      <c r="L16" s="16" t="s">
        <v>39</v>
      </c>
      <c r="M16" s="16" t="s">
        <v>40</v>
      </c>
      <c r="N16" s="16" t="s">
        <v>233</v>
      </c>
      <c r="O16" s="16" t="s">
        <v>234</v>
      </c>
      <c r="P16" s="16" t="s">
        <v>235</v>
      </c>
      <c r="Q16" s="16">
        <v>400001</v>
      </c>
      <c r="R16" s="16" t="s">
        <v>236</v>
      </c>
      <c r="S16" s="16"/>
      <c r="T16" s="16"/>
      <c r="U16" s="16" t="s">
        <v>237</v>
      </c>
      <c r="V16" s="16" t="s">
        <v>238</v>
      </c>
      <c r="W16" s="16"/>
      <c r="X16" s="16" t="s">
        <v>202</v>
      </c>
      <c r="Y16" s="16" t="s">
        <v>49</v>
      </c>
      <c r="Z16" s="16"/>
      <c r="AA16" s="16"/>
      <c r="AB16" s="16"/>
      <c r="AC16" s="16" t="s">
        <v>239</v>
      </c>
      <c r="AD16" s="16"/>
      <c r="AE16" s="16"/>
      <c r="AF16"/>
    </row>
    <row r="17" spans="1:32" s="23" customFormat="1" ht="150" customHeight="1" x14ac:dyDescent="0.2">
      <c r="A17" s="8"/>
      <c r="B17" s="35" t="s">
        <v>240</v>
      </c>
      <c r="C17" s="32" t="s">
        <v>241</v>
      </c>
      <c r="D17" s="16" t="s">
        <v>33</v>
      </c>
      <c r="E17" s="16" t="s">
        <v>34</v>
      </c>
      <c r="F17" s="16" t="s">
        <v>35</v>
      </c>
      <c r="G17" s="16">
        <v>375</v>
      </c>
      <c r="H17" s="16" t="s">
        <v>242</v>
      </c>
      <c r="I17" s="17">
        <v>46352</v>
      </c>
      <c r="J17" s="16" t="s">
        <v>37</v>
      </c>
      <c r="K17" s="16" t="s">
        <v>243</v>
      </c>
      <c r="L17" s="16" t="s">
        <v>244</v>
      </c>
      <c r="M17" s="16" t="s">
        <v>59</v>
      </c>
      <c r="N17" s="16" t="s">
        <v>245</v>
      </c>
      <c r="O17" s="16" t="s">
        <v>246</v>
      </c>
      <c r="P17" s="16" t="s">
        <v>244</v>
      </c>
      <c r="Q17" s="16">
        <v>457779</v>
      </c>
      <c r="R17" s="16" t="s">
        <v>59</v>
      </c>
      <c r="S17" s="16"/>
      <c r="T17" s="16" t="s">
        <v>247</v>
      </c>
      <c r="U17" s="16" t="s">
        <v>248</v>
      </c>
      <c r="V17" s="16"/>
      <c r="W17" s="16"/>
      <c r="X17" s="16" t="s">
        <v>202</v>
      </c>
      <c r="Y17" s="16"/>
      <c r="Z17" s="16"/>
      <c r="AA17" s="16"/>
      <c r="AB17" s="16"/>
      <c r="AC17" s="16" t="s">
        <v>249</v>
      </c>
      <c r="AD17" s="16"/>
      <c r="AE17" s="16"/>
      <c r="AF17"/>
    </row>
    <row r="18" spans="1:32" s="23" customFormat="1" ht="150" customHeight="1" x14ac:dyDescent="0.2">
      <c r="A18" s="8"/>
      <c r="B18" s="35" t="s">
        <v>250</v>
      </c>
      <c r="C18" s="32" t="s">
        <v>251</v>
      </c>
      <c r="D18" s="16" t="s">
        <v>54</v>
      </c>
      <c r="E18" s="16" t="s">
        <v>34</v>
      </c>
      <c r="F18" s="16" t="s">
        <v>35</v>
      </c>
      <c r="G18" s="16">
        <v>700</v>
      </c>
      <c r="H18" s="16" t="s">
        <v>252</v>
      </c>
      <c r="I18" s="17">
        <v>46260</v>
      </c>
      <c r="J18" s="16" t="s">
        <v>37</v>
      </c>
      <c r="K18" s="16" t="s">
        <v>253</v>
      </c>
      <c r="L18" s="16" t="s">
        <v>254</v>
      </c>
      <c r="M18" s="16" t="s">
        <v>40</v>
      </c>
      <c r="N18" s="16" t="s">
        <v>255</v>
      </c>
      <c r="O18" s="16" t="s">
        <v>256</v>
      </c>
      <c r="P18" s="16" t="s">
        <v>62</v>
      </c>
      <c r="Q18" s="16">
        <v>380054</v>
      </c>
      <c r="R18" s="16" t="s">
        <v>40</v>
      </c>
      <c r="S18" s="16" t="s">
        <v>257</v>
      </c>
      <c r="T18" s="16" t="s">
        <v>258</v>
      </c>
      <c r="U18" s="16" t="s">
        <v>259</v>
      </c>
      <c r="V18" s="16"/>
      <c r="W18" s="16" t="s">
        <v>260</v>
      </c>
      <c r="X18" s="16" t="s">
        <v>202</v>
      </c>
      <c r="Y18" s="16" t="s">
        <v>49</v>
      </c>
      <c r="Z18" s="16"/>
      <c r="AA18" s="16"/>
      <c r="AB18" s="16"/>
      <c r="AC18" s="16" t="s">
        <v>261</v>
      </c>
      <c r="AD18" s="16" t="s">
        <v>262</v>
      </c>
      <c r="AE18" s="16"/>
      <c r="AF18"/>
    </row>
    <row r="19" spans="1:32" s="23" customFormat="1" ht="150" customHeight="1" x14ac:dyDescent="0.2">
      <c r="A19" s="8"/>
      <c r="B19" s="35" t="s">
        <v>263</v>
      </c>
      <c r="C19" s="32" t="s">
        <v>264</v>
      </c>
      <c r="D19" s="16" t="s">
        <v>33</v>
      </c>
      <c r="E19" s="16" t="s">
        <v>34</v>
      </c>
      <c r="F19" s="16" t="s">
        <v>265</v>
      </c>
      <c r="G19" s="16">
        <v>700</v>
      </c>
      <c r="H19" s="16" t="s">
        <v>266</v>
      </c>
      <c r="I19" s="16"/>
      <c r="J19" s="16" t="s">
        <v>57</v>
      </c>
      <c r="K19" s="16" t="s">
        <v>267</v>
      </c>
      <c r="L19" s="16" t="s">
        <v>267</v>
      </c>
      <c r="M19" s="16" t="s">
        <v>268</v>
      </c>
      <c r="N19" s="16" t="s">
        <v>269</v>
      </c>
      <c r="O19" s="16" t="s">
        <v>270</v>
      </c>
      <c r="P19" s="16" t="s">
        <v>271</v>
      </c>
      <c r="Q19" s="16">
        <v>700106</v>
      </c>
      <c r="R19" s="16" t="s">
        <v>138</v>
      </c>
      <c r="S19" s="16" t="s">
        <v>272</v>
      </c>
      <c r="T19" s="16" t="s">
        <v>273</v>
      </c>
      <c r="U19" s="16" t="s">
        <v>274</v>
      </c>
      <c r="V19" s="16" t="s">
        <v>275</v>
      </c>
      <c r="W19" s="16"/>
      <c r="X19" s="16" t="s">
        <v>202</v>
      </c>
      <c r="Y19" s="16"/>
      <c r="Z19" s="16"/>
      <c r="AA19" s="16"/>
      <c r="AB19" s="16"/>
      <c r="AC19" s="24" t="s">
        <v>276</v>
      </c>
      <c r="AD19" s="16"/>
      <c r="AE19" s="16"/>
      <c r="AF19"/>
    </row>
    <row r="20" spans="1:32" s="23" customFormat="1" ht="150" customHeight="1" x14ac:dyDescent="0.2">
      <c r="A20" s="8"/>
      <c r="B20" s="35" t="s">
        <v>277</v>
      </c>
      <c r="C20" s="32" t="s">
        <v>278</v>
      </c>
      <c r="D20" s="16" t="s">
        <v>54</v>
      </c>
      <c r="E20" s="16" t="s">
        <v>34</v>
      </c>
      <c r="F20" s="16" t="s">
        <v>265</v>
      </c>
      <c r="G20" s="16">
        <v>1650</v>
      </c>
      <c r="H20" s="16" t="s">
        <v>279</v>
      </c>
      <c r="I20" s="17">
        <v>46049</v>
      </c>
      <c r="J20" s="16" t="s">
        <v>37</v>
      </c>
      <c r="K20" s="16" t="s">
        <v>280</v>
      </c>
      <c r="L20" s="16" t="s">
        <v>281</v>
      </c>
      <c r="M20" s="16" t="s">
        <v>134</v>
      </c>
      <c r="N20" s="16" t="s">
        <v>282</v>
      </c>
      <c r="O20" s="16" t="s">
        <v>283</v>
      </c>
      <c r="P20" s="16" t="s">
        <v>281</v>
      </c>
      <c r="Q20" s="16">
        <v>800014</v>
      </c>
      <c r="R20" s="16" t="s">
        <v>134</v>
      </c>
      <c r="S20" s="16"/>
      <c r="T20" s="16" t="s">
        <v>284</v>
      </c>
      <c r="U20" s="16" t="s">
        <v>285</v>
      </c>
      <c r="V20" s="16" t="s">
        <v>286</v>
      </c>
      <c r="W20" s="16"/>
      <c r="X20" s="16" t="s">
        <v>202</v>
      </c>
      <c r="Y20" s="16"/>
      <c r="Z20" s="16"/>
      <c r="AA20" s="16"/>
      <c r="AB20" s="16"/>
      <c r="AC20" s="24" t="s">
        <v>112</v>
      </c>
      <c r="AD20" s="16"/>
      <c r="AE20" s="16"/>
      <c r="AF20"/>
    </row>
    <row r="21" spans="1:32" s="23" customFormat="1" ht="150" customHeight="1" x14ac:dyDescent="0.2">
      <c r="A21" s="8"/>
      <c r="B21" s="35" t="s">
        <v>287</v>
      </c>
      <c r="C21" s="32" t="s">
        <v>288</v>
      </c>
      <c r="D21" s="16" t="s">
        <v>54</v>
      </c>
      <c r="E21" s="16" t="s">
        <v>34</v>
      </c>
      <c r="F21" s="16" t="s">
        <v>87</v>
      </c>
      <c r="G21" s="16">
        <v>1959.6</v>
      </c>
      <c r="H21" s="16" t="s">
        <v>289</v>
      </c>
      <c r="I21" s="17">
        <v>46352</v>
      </c>
      <c r="J21" s="16" t="s">
        <v>37</v>
      </c>
      <c r="K21" s="16" t="s">
        <v>290</v>
      </c>
      <c r="L21" s="16" t="s">
        <v>291</v>
      </c>
      <c r="M21" s="16" t="s">
        <v>236</v>
      </c>
      <c r="N21" s="16" t="s">
        <v>292</v>
      </c>
      <c r="O21" s="16" t="s">
        <v>293</v>
      </c>
      <c r="P21" s="16" t="s">
        <v>235</v>
      </c>
      <c r="Q21" s="16">
        <v>400093</v>
      </c>
      <c r="R21" s="16" t="s">
        <v>236</v>
      </c>
      <c r="S21" s="16" t="s">
        <v>294</v>
      </c>
      <c r="T21" s="16" t="s">
        <v>295</v>
      </c>
      <c r="U21" s="16" t="s">
        <v>296</v>
      </c>
      <c r="V21" s="16" t="s">
        <v>297</v>
      </c>
      <c r="W21" s="16"/>
      <c r="X21" s="16" t="s">
        <v>202</v>
      </c>
      <c r="Y21" s="16"/>
      <c r="Z21" s="16"/>
      <c r="AA21" s="16"/>
      <c r="AB21" s="16"/>
      <c r="AC21" s="24" t="s">
        <v>112</v>
      </c>
      <c r="AD21" s="16"/>
      <c r="AE21" s="16"/>
      <c r="AF21"/>
    </row>
    <row r="22" spans="1:32" s="23" customFormat="1" ht="150" customHeight="1" x14ac:dyDescent="0.2">
      <c r="A22" s="8"/>
      <c r="B22" s="35" t="s">
        <v>298</v>
      </c>
      <c r="C22" s="32" t="s">
        <v>299</v>
      </c>
      <c r="D22" s="16" t="s">
        <v>54</v>
      </c>
      <c r="E22" s="16" t="s">
        <v>34</v>
      </c>
      <c r="F22" s="16" t="s">
        <v>148</v>
      </c>
      <c r="G22" s="16">
        <v>3000</v>
      </c>
      <c r="H22" s="16" t="s">
        <v>300</v>
      </c>
      <c r="I22" s="16"/>
      <c r="J22" s="16" t="s">
        <v>57</v>
      </c>
      <c r="K22" s="16"/>
      <c r="L22" s="16" t="s">
        <v>301</v>
      </c>
      <c r="M22" s="16" t="s">
        <v>134</v>
      </c>
      <c r="N22" s="16" t="s">
        <v>302</v>
      </c>
      <c r="O22" s="16" t="s">
        <v>303</v>
      </c>
      <c r="P22" s="16" t="s">
        <v>235</v>
      </c>
      <c r="Q22" s="16">
        <v>400001</v>
      </c>
      <c r="R22" s="16" t="s">
        <v>236</v>
      </c>
      <c r="S22" s="16" t="s">
        <v>304</v>
      </c>
      <c r="T22" s="16" t="s">
        <v>305</v>
      </c>
      <c r="U22" s="16" t="s">
        <v>306</v>
      </c>
      <c r="V22" s="16" t="s">
        <v>307</v>
      </c>
      <c r="W22" s="16"/>
      <c r="X22" s="16" t="s">
        <v>202</v>
      </c>
      <c r="Y22" s="16"/>
      <c r="Z22" s="16"/>
      <c r="AA22" s="16"/>
      <c r="AB22" s="16"/>
      <c r="AC22" s="24" t="s">
        <v>112</v>
      </c>
      <c r="AD22" s="16"/>
      <c r="AE22" s="16"/>
      <c r="AF22"/>
    </row>
    <row r="23" spans="1:32" s="23" customFormat="1" ht="150" customHeight="1" x14ac:dyDescent="0.2">
      <c r="A23" s="8"/>
      <c r="B23" s="35" t="s">
        <v>308</v>
      </c>
      <c r="C23" s="32" t="s">
        <v>309</v>
      </c>
      <c r="D23" s="16" t="s">
        <v>33</v>
      </c>
      <c r="E23" s="16" t="s">
        <v>34</v>
      </c>
      <c r="F23" s="16" t="s">
        <v>71</v>
      </c>
      <c r="G23" s="16"/>
      <c r="H23" s="16" t="s">
        <v>310</v>
      </c>
      <c r="I23" s="17">
        <v>46231</v>
      </c>
      <c r="J23" s="16" t="s">
        <v>57</v>
      </c>
      <c r="K23" s="16"/>
      <c r="L23" s="16" t="s">
        <v>291</v>
      </c>
      <c r="M23" s="16" t="s">
        <v>311</v>
      </c>
      <c r="N23" s="16" t="s">
        <v>312</v>
      </c>
      <c r="O23" s="16" t="s">
        <v>313</v>
      </c>
      <c r="P23" s="16" t="s">
        <v>314</v>
      </c>
      <c r="Q23" s="16">
        <v>758035</v>
      </c>
      <c r="R23" s="16" t="s">
        <v>315</v>
      </c>
      <c r="S23" s="16" t="s">
        <v>316</v>
      </c>
      <c r="T23" s="16"/>
      <c r="U23" s="16" t="s">
        <v>317</v>
      </c>
      <c r="V23" s="16" t="s">
        <v>318</v>
      </c>
      <c r="W23" s="16"/>
      <c r="X23" s="16" t="s">
        <v>202</v>
      </c>
      <c r="Y23" s="16"/>
      <c r="Z23" s="16"/>
      <c r="AA23" s="16"/>
      <c r="AB23" s="16"/>
      <c r="AC23" s="24" t="s">
        <v>319</v>
      </c>
      <c r="AD23" s="16"/>
      <c r="AE23" s="16"/>
      <c r="AF23"/>
    </row>
    <row r="24" spans="1:32" s="23" customFormat="1" ht="150" customHeight="1" x14ac:dyDescent="0.2">
      <c r="A24" s="8"/>
      <c r="B24" s="35" t="s">
        <v>320</v>
      </c>
      <c r="C24" s="32" t="s">
        <v>321</v>
      </c>
      <c r="D24" s="16" t="s">
        <v>54</v>
      </c>
      <c r="E24" s="16" t="s">
        <v>34</v>
      </c>
      <c r="F24" s="16" t="s">
        <v>102</v>
      </c>
      <c r="G24" s="16">
        <v>2300.4</v>
      </c>
      <c r="H24" s="16" t="s">
        <v>322</v>
      </c>
      <c r="I24" s="16"/>
      <c r="J24" s="16" t="s">
        <v>323</v>
      </c>
      <c r="K24" s="16" t="s">
        <v>324</v>
      </c>
      <c r="L24" s="16" t="s">
        <v>325</v>
      </c>
      <c r="M24" s="16" t="s">
        <v>326</v>
      </c>
      <c r="N24" s="16" t="s">
        <v>327</v>
      </c>
      <c r="O24" s="16" t="s">
        <v>328</v>
      </c>
      <c r="P24" s="16" t="s">
        <v>325</v>
      </c>
      <c r="Q24" s="16">
        <v>173205</v>
      </c>
      <c r="R24" s="16" t="s">
        <v>326</v>
      </c>
      <c r="S24" s="16" t="s">
        <v>329</v>
      </c>
      <c r="T24" s="16" t="s">
        <v>330</v>
      </c>
      <c r="U24" s="16" t="s">
        <v>331</v>
      </c>
      <c r="V24" s="16" t="s">
        <v>332</v>
      </c>
      <c r="W24" s="16"/>
      <c r="X24" s="16" t="s">
        <v>202</v>
      </c>
      <c r="Y24" s="16" t="s">
        <v>49</v>
      </c>
      <c r="Z24" s="16"/>
      <c r="AA24" s="16"/>
      <c r="AB24" s="16"/>
      <c r="AC24" s="24" t="s">
        <v>333</v>
      </c>
      <c r="AD24" s="16" t="s">
        <v>51</v>
      </c>
      <c r="AE24" s="16"/>
      <c r="AF24"/>
    </row>
    <row r="25" spans="1:32" s="23" customFormat="1" ht="150" customHeight="1" x14ac:dyDescent="0.2">
      <c r="A25" s="8"/>
      <c r="B25" s="35" t="s">
        <v>334</v>
      </c>
      <c r="C25" s="32" t="s">
        <v>335</v>
      </c>
      <c r="D25" s="16" t="s">
        <v>33</v>
      </c>
      <c r="E25" s="16" t="s">
        <v>34</v>
      </c>
      <c r="F25" s="16" t="s">
        <v>71</v>
      </c>
      <c r="G25" s="16">
        <v>2000</v>
      </c>
      <c r="H25" s="16" t="s">
        <v>336</v>
      </c>
      <c r="I25" s="17">
        <v>46384</v>
      </c>
      <c r="J25" s="16" t="s">
        <v>37</v>
      </c>
      <c r="K25" s="16" t="s">
        <v>337</v>
      </c>
      <c r="L25" s="16" t="s">
        <v>338</v>
      </c>
      <c r="M25" s="16" t="s">
        <v>138</v>
      </c>
      <c r="N25" s="16" t="s">
        <v>339</v>
      </c>
      <c r="O25" s="16" t="s">
        <v>340</v>
      </c>
      <c r="P25" s="16" t="s">
        <v>271</v>
      </c>
      <c r="Q25" s="16">
        <v>700091</v>
      </c>
      <c r="R25" s="16" t="s">
        <v>138</v>
      </c>
      <c r="S25" s="16" t="s">
        <v>341</v>
      </c>
      <c r="T25" s="16" t="s">
        <v>342</v>
      </c>
      <c r="U25" s="16" t="s">
        <v>343</v>
      </c>
      <c r="V25" s="16" t="s">
        <v>344</v>
      </c>
      <c r="W25" s="16"/>
      <c r="X25" s="16" t="s">
        <v>202</v>
      </c>
      <c r="Y25" s="16" t="s">
        <v>49</v>
      </c>
      <c r="Z25" s="16"/>
      <c r="AA25" s="16"/>
      <c r="AB25" s="16"/>
      <c r="AC25" s="16" t="s">
        <v>345</v>
      </c>
      <c r="AD25" s="16"/>
      <c r="AE25" s="16"/>
      <c r="AF25"/>
    </row>
    <row r="26" spans="1:32" s="23" customFormat="1" ht="150" customHeight="1" x14ac:dyDescent="0.2">
      <c r="A26" s="8"/>
      <c r="B26" s="35" t="s">
        <v>346</v>
      </c>
      <c r="C26" s="32" t="s">
        <v>347</v>
      </c>
      <c r="D26" s="16" t="s">
        <v>33</v>
      </c>
      <c r="E26" s="16" t="s">
        <v>34</v>
      </c>
      <c r="F26" s="16" t="s">
        <v>35</v>
      </c>
      <c r="G26" s="16">
        <v>94.057000000000002</v>
      </c>
      <c r="H26" s="16" t="s">
        <v>348</v>
      </c>
      <c r="I26" s="17">
        <v>46382</v>
      </c>
      <c r="J26" s="16" t="s">
        <v>37</v>
      </c>
      <c r="K26" s="16" t="s">
        <v>349</v>
      </c>
      <c r="L26" s="16" t="s">
        <v>350</v>
      </c>
      <c r="M26" s="16" t="s">
        <v>40</v>
      </c>
      <c r="N26" s="16" t="s">
        <v>351</v>
      </c>
      <c r="O26" s="16" t="s">
        <v>349</v>
      </c>
      <c r="P26" s="16" t="s">
        <v>350</v>
      </c>
      <c r="Q26" s="16"/>
      <c r="R26" s="16" t="s">
        <v>40</v>
      </c>
      <c r="S26" s="16" t="s">
        <v>352</v>
      </c>
      <c r="T26" s="16" t="s">
        <v>353</v>
      </c>
      <c r="U26" s="16" t="s">
        <v>354</v>
      </c>
      <c r="V26" s="16" t="s">
        <v>355</v>
      </c>
      <c r="W26" s="16"/>
      <c r="X26" s="16" t="s">
        <v>202</v>
      </c>
      <c r="Y26" s="16"/>
      <c r="Z26" s="16"/>
      <c r="AA26" s="16"/>
      <c r="AB26" s="16"/>
      <c r="AC26" s="16" t="s">
        <v>356</v>
      </c>
      <c r="AD26" s="16"/>
      <c r="AE26" s="16"/>
      <c r="AF26"/>
    </row>
    <row r="27" spans="1:32" s="23" customFormat="1" ht="150" customHeight="1" x14ac:dyDescent="0.2">
      <c r="A27" s="8"/>
      <c r="B27" s="35" t="s">
        <v>357</v>
      </c>
      <c r="C27" s="32" t="s">
        <v>358</v>
      </c>
      <c r="D27" s="16" t="s">
        <v>54</v>
      </c>
      <c r="E27" s="16" t="s">
        <v>34</v>
      </c>
      <c r="F27" s="16" t="s">
        <v>359</v>
      </c>
      <c r="G27" s="16">
        <v>120.381</v>
      </c>
      <c r="H27" s="16" t="s">
        <v>360</v>
      </c>
      <c r="I27" s="16"/>
      <c r="J27" s="16" t="s">
        <v>323</v>
      </c>
      <c r="K27" s="16" t="s">
        <v>361</v>
      </c>
      <c r="L27" s="16" t="s">
        <v>362</v>
      </c>
      <c r="M27" s="16" t="s">
        <v>326</v>
      </c>
      <c r="N27" s="16" t="s">
        <v>363</v>
      </c>
      <c r="O27" s="16" t="s">
        <v>364</v>
      </c>
      <c r="P27" s="16" t="s">
        <v>365</v>
      </c>
      <c r="Q27" s="16">
        <v>174101</v>
      </c>
      <c r="R27" s="16" t="s">
        <v>326</v>
      </c>
      <c r="S27" s="16" t="s">
        <v>366</v>
      </c>
      <c r="T27" s="16" t="s">
        <v>367</v>
      </c>
      <c r="U27" s="16" t="s">
        <v>368</v>
      </c>
      <c r="V27" s="16" t="s">
        <v>369</v>
      </c>
      <c r="W27" s="16"/>
      <c r="X27" s="16" t="s">
        <v>202</v>
      </c>
      <c r="Y27" s="69"/>
      <c r="Z27" s="69"/>
      <c r="AA27" s="69"/>
      <c r="AB27" s="69"/>
      <c r="AC27" s="69" t="s">
        <v>356</v>
      </c>
      <c r="AD27" s="69"/>
      <c r="AE27" s="69"/>
      <c r="AF27"/>
    </row>
    <row r="28" spans="1:32" ht="112" x14ac:dyDescent="0.2">
      <c r="A28">
        <v>6261</v>
      </c>
      <c r="B28" s="35" t="s">
        <v>370</v>
      </c>
      <c r="C28" s="32" t="s">
        <v>371</v>
      </c>
      <c r="D28" s="16" t="s">
        <v>54</v>
      </c>
      <c r="E28" s="16" t="s">
        <v>34</v>
      </c>
      <c r="F28" s="16" t="s">
        <v>265</v>
      </c>
      <c r="G28" s="16">
        <v>4653.6000000000004</v>
      </c>
      <c r="H28" s="16" t="s">
        <v>372</v>
      </c>
      <c r="I28" s="16">
        <v>46109</v>
      </c>
      <c r="J28" s="16" t="s">
        <v>37</v>
      </c>
      <c r="K28" s="16" t="s">
        <v>373</v>
      </c>
      <c r="L28" s="16" t="s">
        <v>374</v>
      </c>
      <c r="M28" s="16" t="s">
        <v>59</v>
      </c>
      <c r="N28" s="16" t="s">
        <v>375</v>
      </c>
      <c r="O28" s="16" t="s">
        <v>376</v>
      </c>
      <c r="P28" s="16" t="s">
        <v>374</v>
      </c>
      <c r="Q28" s="16">
        <v>452001</v>
      </c>
      <c r="R28" s="16" t="s">
        <v>59</v>
      </c>
      <c r="S28" s="16"/>
      <c r="T28" s="16" t="s">
        <v>377</v>
      </c>
      <c r="U28" s="16" t="s">
        <v>378</v>
      </c>
      <c r="V28" s="16" t="s">
        <v>379</v>
      </c>
      <c r="W28" s="16"/>
      <c r="X28" s="35"/>
      <c r="Y28" s="29"/>
      <c r="Z28" s="29"/>
      <c r="AA28" s="29"/>
      <c r="AB28" s="29"/>
      <c r="AC28" s="29" t="s">
        <v>380</v>
      </c>
      <c r="AD28" s="29"/>
      <c r="AE28" s="29"/>
    </row>
    <row r="29" spans="1:32" ht="96" x14ac:dyDescent="0.2">
      <c r="A29">
        <v>6262</v>
      </c>
      <c r="B29" s="35" t="s">
        <v>381</v>
      </c>
      <c r="C29" s="32" t="s">
        <v>382</v>
      </c>
      <c r="D29" s="16" t="s">
        <v>54</v>
      </c>
      <c r="E29" s="16" t="s">
        <v>34</v>
      </c>
      <c r="F29" s="16" t="s">
        <v>265</v>
      </c>
      <c r="G29" s="16">
        <v>600</v>
      </c>
      <c r="H29" s="16" t="s">
        <v>383</v>
      </c>
      <c r="I29" s="16">
        <v>46108</v>
      </c>
      <c r="J29" s="16" t="s">
        <v>37</v>
      </c>
      <c r="K29" s="16" t="s">
        <v>384</v>
      </c>
      <c r="L29" s="16" t="s">
        <v>385</v>
      </c>
      <c r="M29" s="16" t="s">
        <v>134</v>
      </c>
      <c r="N29" s="16" t="s">
        <v>386</v>
      </c>
      <c r="O29" s="16" t="s">
        <v>387</v>
      </c>
      <c r="P29" s="16" t="s">
        <v>385</v>
      </c>
      <c r="Q29" s="16">
        <v>844101</v>
      </c>
      <c r="R29" s="16" t="s">
        <v>134</v>
      </c>
      <c r="S29" s="16" t="s">
        <v>388</v>
      </c>
      <c r="T29" s="16" t="s">
        <v>389</v>
      </c>
      <c r="U29" s="16" t="s">
        <v>390</v>
      </c>
      <c r="V29" s="16" t="s">
        <v>391</v>
      </c>
      <c r="W29" s="16"/>
      <c r="X29" s="35"/>
      <c r="Y29" s="29"/>
      <c r="Z29" s="29"/>
      <c r="AA29" s="29"/>
      <c r="AB29" s="29"/>
      <c r="AC29" s="29"/>
      <c r="AD29" s="29"/>
      <c r="AE29" s="29"/>
    </row>
    <row r="30" spans="1:32" ht="80" x14ac:dyDescent="0.2">
      <c r="A30">
        <v>6263</v>
      </c>
      <c r="B30" s="35" t="s">
        <v>392</v>
      </c>
      <c r="C30" s="32" t="s">
        <v>393</v>
      </c>
      <c r="D30" s="16" t="s">
        <v>54</v>
      </c>
      <c r="E30" s="16" t="s">
        <v>34</v>
      </c>
      <c r="F30" s="16" t="s">
        <v>102</v>
      </c>
      <c r="G30" s="16">
        <v>86.76</v>
      </c>
      <c r="H30" s="16" t="s">
        <v>394</v>
      </c>
      <c r="I30" s="16"/>
      <c r="J30" s="16" t="s">
        <v>323</v>
      </c>
      <c r="K30" s="16" t="s">
        <v>395</v>
      </c>
      <c r="L30" s="16" t="s">
        <v>325</v>
      </c>
      <c r="M30" s="16" t="s">
        <v>326</v>
      </c>
      <c r="N30" s="16" t="s">
        <v>396</v>
      </c>
      <c r="O30" s="16" t="s">
        <v>397</v>
      </c>
      <c r="P30" s="16" t="s">
        <v>325</v>
      </c>
      <c r="Q30" s="16">
        <v>174103</v>
      </c>
      <c r="R30" s="16" t="s">
        <v>326</v>
      </c>
      <c r="S30" s="16" t="s">
        <v>398</v>
      </c>
      <c r="T30" s="16" t="s">
        <v>399</v>
      </c>
      <c r="U30" s="16" t="s">
        <v>400</v>
      </c>
      <c r="V30" s="16" t="s">
        <v>401</v>
      </c>
      <c r="W30" s="16"/>
      <c r="X30" s="35"/>
      <c r="Y30" s="29"/>
      <c r="Z30" s="29"/>
      <c r="AA30" s="29"/>
      <c r="AB30" s="29"/>
      <c r="AC30" s="29"/>
      <c r="AD30" s="29"/>
      <c r="AE30" s="29"/>
    </row>
    <row r="31" spans="1:32" ht="96" x14ac:dyDescent="0.2">
      <c r="A31">
        <v>6264</v>
      </c>
      <c r="B31" s="35" t="s">
        <v>402</v>
      </c>
      <c r="C31" s="32" t="s">
        <v>403</v>
      </c>
      <c r="D31" s="16" t="s">
        <v>54</v>
      </c>
      <c r="E31" s="16" t="s">
        <v>34</v>
      </c>
      <c r="F31" s="16" t="s">
        <v>71</v>
      </c>
      <c r="G31" s="16">
        <v>650</v>
      </c>
      <c r="H31" s="16" t="s">
        <v>404</v>
      </c>
      <c r="I31" s="16"/>
      <c r="J31" s="16" t="s">
        <v>57</v>
      </c>
      <c r="K31" s="16"/>
      <c r="L31" s="16" t="s">
        <v>405</v>
      </c>
      <c r="M31" s="16" t="s">
        <v>315</v>
      </c>
      <c r="N31" s="16" t="s">
        <v>406</v>
      </c>
      <c r="O31" s="16" t="s">
        <v>407</v>
      </c>
      <c r="P31" s="16" t="s">
        <v>408</v>
      </c>
      <c r="Q31" s="16">
        <v>121004</v>
      </c>
      <c r="R31" s="16" t="s">
        <v>223</v>
      </c>
      <c r="S31" s="16" t="s">
        <v>409</v>
      </c>
      <c r="T31" s="16" t="s">
        <v>410</v>
      </c>
      <c r="U31" s="16" t="s">
        <v>411</v>
      </c>
      <c r="V31" s="16" t="s">
        <v>412</v>
      </c>
      <c r="W31" s="16"/>
      <c r="X31" s="35"/>
      <c r="Y31" s="29"/>
      <c r="Z31" s="29"/>
      <c r="AA31" s="29"/>
      <c r="AB31" s="29"/>
      <c r="AC31" s="29"/>
      <c r="AD31" s="29"/>
      <c r="AE31" s="29"/>
    </row>
    <row r="32" spans="1:32" ht="96" x14ac:dyDescent="0.2">
      <c r="A32">
        <v>6265</v>
      </c>
      <c r="B32" s="35" t="s">
        <v>413</v>
      </c>
      <c r="C32" s="32" t="s">
        <v>414</v>
      </c>
      <c r="D32" s="16" t="s">
        <v>33</v>
      </c>
      <c r="E32" s="16" t="s">
        <v>34</v>
      </c>
      <c r="F32" s="16" t="s">
        <v>35</v>
      </c>
      <c r="G32" s="16">
        <v>2470</v>
      </c>
      <c r="H32" s="16" t="s">
        <v>415</v>
      </c>
      <c r="I32" s="16"/>
      <c r="J32" s="16" t="s">
        <v>57</v>
      </c>
      <c r="K32" s="16" t="s">
        <v>416</v>
      </c>
      <c r="L32" s="16" t="s">
        <v>244</v>
      </c>
      <c r="M32" s="16" t="s">
        <v>59</v>
      </c>
      <c r="N32" s="16" t="s">
        <v>417</v>
      </c>
      <c r="O32" s="16" t="s">
        <v>418</v>
      </c>
      <c r="P32" s="16" t="s">
        <v>235</v>
      </c>
      <c r="Q32" s="16">
        <v>400063</v>
      </c>
      <c r="R32" s="16" t="s">
        <v>236</v>
      </c>
      <c r="S32" s="16" t="s">
        <v>419</v>
      </c>
      <c r="T32" s="16" t="s">
        <v>420</v>
      </c>
      <c r="U32" s="16" t="s">
        <v>421</v>
      </c>
      <c r="V32" s="16" t="s">
        <v>422</v>
      </c>
      <c r="W32" s="16"/>
      <c r="X32" s="35"/>
      <c r="Y32" s="29"/>
      <c r="Z32" s="29"/>
      <c r="AA32" s="29"/>
      <c r="AB32" s="29"/>
      <c r="AC32" s="29"/>
      <c r="AD32" s="29"/>
      <c r="AE32" s="29"/>
    </row>
    <row r="33" spans="1:31" ht="96" x14ac:dyDescent="0.2">
      <c r="A33">
        <v>6266</v>
      </c>
      <c r="B33" s="35" t="s">
        <v>423</v>
      </c>
      <c r="C33" s="32" t="s">
        <v>424</v>
      </c>
      <c r="D33" s="16" t="s">
        <v>54</v>
      </c>
      <c r="E33" s="16" t="s">
        <v>34</v>
      </c>
      <c r="F33" s="16" t="s">
        <v>35</v>
      </c>
      <c r="G33" s="16">
        <v>575</v>
      </c>
      <c r="H33" s="16" t="s">
        <v>425</v>
      </c>
      <c r="I33" s="16">
        <v>46383</v>
      </c>
      <c r="J33" s="16" t="s">
        <v>37</v>
      </c>
      <c r="K33" s="16" t="s">
        <v>426</v>
      </c>
      <c r="L33" s="16" t="s">
        <v>427</v>
      </c>
      <c r="M33" s="16" t="s">
        <v>236</v>
      </c>
      <c r="N33" s="16" t="s">
        <v>428</v>
      </c>
      <c r="O33" s="16" t="s">
        <v>429</v>
      </c>
      <c r="P33" s="16" t="s">
        <v>427</v>
      </c>
      <c r="Q33" s="16">
        <v>411007</v>
      </c>
      <c r="R33" s="16" t="s">
        <v>236</v>
      </c>
      <c r="S33" s="16"/>
      <c r="T33" s="16"/>
      <c r="U33" s="16" t="s">
        <v>430</v>
      </c>
      <c r="V33" s="16" t="s">
        <v>431</v>
      </c>
      <c r="W33" s="16"/>
      <c r="X33" s="35"/>
      <c r="Y33" s="29"/>
      <c r="Z33" s="29"/>
      <c r="AA33" s="29"/>
      <c r="AB33" s="29"/>
      <c r="AC33" s="29"/>
      <c r="AD33" s="29"/>
      <c r="AE33" s="29"/>
    </row>
    <row r="34" spans="1:31" ht="96" x14ac:dyDescent="0.2">
      <c r="A34">
        <v>6267</v>
      </c>
      <c r="B34" s="35" t="s">
        <v>432</v>
      </c>
      <c r="C34" s="32" t="s">
        <v>433</v>
      </c>
      <c r="D34" s="16" t="s">
        <v>33</v>
      </c>
      <c r="E34" s="16" t="s">
        <v>34</v>
      </c>
      <c r="F34" s="16" t="s">
        <v>102</v>
      </c>
      <c r="G34" s="16">
        <v>132254</v>
      </c>
      <c r="H34" s="16" t="s">
        <v>434</v>
      </c>
      <c r="I34" s="16">
        <v>46384</v>
      </c>
      <c r="J34" s="16" t="s">
        <v>37</v>
      </c>
      <c r="K34" s="16" t="s">
        <v>435</v>
      </c>
      <c r="L34" s="16" t="s">
        <v>62</v>
      </c>
      <c r="M34" s="16" t="s">
        <v>40</v>
      </c>
      <c r="N34" s="16" t="s">
        <v>436</v>
      </c>
      <c r="O34" s="16" t="s">
        <v>437</v>
      </c>
      <c r="P34" s="16" t="s">
        <v>62</v>
      </c>
      <c r="Q34" s="16">
        <v>382110</v>
      </c>
      <c r="R34" s="16" t="s">
        <v>40</v>
      </c>
      <c r="S34" s="16" t="s">
        <v>438</v>
      </c>
      <c r="T34" s="16" t="s">
        <v>439</v>
      </c>
      <c r="U34" s="16" t="s">
        <v>440</v>
      </c>
      <c r="V34" s="16" t="s">
        <v>441</v>
      </c>
      <c r="W34" s="16"/>
      <c r="X34" s="35"/>
      <c r="Y34" s="29"/>
      <c r="Z34" s="29"/>
      <c r="AA34" s="29"/>
      <c r="AB34" s="29"/>
      <c r="AC34" s="29"/>
      <c r="AD34" s="29"/>
      <c r="AE34" s="29"/>
    </row>
    <row r="35" spans="1:31" ht="96" x14ac:dyDescent="0.2">
      <c r="A35">
        <v>6268</v>
      </c>
      <c r="B35" s="35" t="s">
        <v>442</v>
      </c>
      <c r="C35" s="32" t="s">
        <v>443</v>
      </c>
      <c r="D35" s="16" t="s">
        <v>33</v>
      </c>
      <c r="E35" s="16" t="s">
        <v>34</v>
      </c>
      <c r="F35" s="16" t="s">
        <v>130</v>
      </c>
      <c r="G35" s="16">
        <v>2500</v>
      </c>
      <c r="H35" s="16" t="s">
        <v>444</v>
      </c>
      <c r="I35" s="16">
        <v>46230</v>
      </c>
      <c r="J35" s="16" t="s">
        <v>37</v>
      </c>
      <c r="K35" s="16" t="s">
        <v>445</v>
      </c>
      <c r="L35" s="16" t="s">
        <v>446</v>
      </c>
      <c r="M35" s="16" t="s">
        <v>311</v>
      </c>
      <c r="N35" s="16" t="s">
        <v>447</v>
      </c>
      <c r="O35" s="16" t="s">
        <v>448</v>
      </c>
      <c r="P35" s="16" t="s">
        <v>449</v>
      </c>
      <c r="Q35" s="16">
        <v>110020</v>
      </c>
      <c r="R35" s="16" t="s">
        <v>450</v>
      </c>
      <c r="S35" s="16"/>
      <c r="T35" s="16" t="s">
        <v>451</v>
      </c>
      <c r="U35" s="16" t="s">
        <v>452</v>
      </c>
      <c r="V35" s="16" t="s">
        <v>453</v>
      </c>
      <c r="W35" s="16" t="s">
        <v>454</v>
      </c>
      <c r="X35" s="35"/>
      <c r="Y35" s="29"/>
      <c r="Z35" s="29"/>
      <c r="AA35" s="29" t="s">
        <v>455</v>
      </c>
      <c r="AB35" s="29"/>
      <c r="AC35" s="29"/>
      <c r="AD35" s="29"/>
      <c r="AE35" s="29"/>
    </row>
    <row r="36" spans="1:31" ht="96" x14ac:dyDescent="0.2">
      <c r="A36">
        <v>6269</v>
      </c>
      <c r="B36" s="35" t="s">
        <v>456</v>
      </c>
      <c r="C36" s="32" t="s">
        <v>457</v>
      </c>
      <c r="D36" s="16" t="s">
        <v>54</v>
      </c>
      <c r="E36" s="16" t="s">
        <v>34</v>
      </c>
      <c r="F36" s="16" t="s">
        <v>458</v>
      </c>
      <c r="G36" s="16">
        <v>51.2</v>
      </c>
      <c r="H36" s="16" t="s">
        <v>459</v>
      </c>
      <c r="I36" s="16">
        <v>46291</v>
      </c>
      <c r="J36" s="16" t="s">
        <v>37</v>
      </c>
      <c r="K36" s="16" t="s">
        <v>460</v>
      </c>
      <c r="L36" s="16" t="s">
        <v>461</v>
      </c>
      <c r="M36" s="16" t="s">
        <v>236</v>
      </c>
      <c r="N36" s="16" t="s">
        <v>462</v>
      </c>
      <c r="O36" s="16" t="s">
        <v>463</v>
      </c>
      <c r="P36" s="16" t="s">
        <v>461</v>
      </c>
      <c r="Q36" s="16">
        <v>431809</v>
      </c>
      <c r="R36" s="16" t="s">
        <v>236</v>
      </c>
      <c r="S36" s="16"/>
      <c r="T36" s="16" t="s">
        <v>464</v>
      </c>
      <c r="U36" s="16" t="s">
        <v>465</v>
      </c>
      <c r="V36" s="16"/>
      <c r="W36" s="16" t="s">
        <v>466</v>
      </c>
      <c r="X36" s="35"/>
      <c r="Y36" s="29"/>
      <c r="Z36" s="29"/>
      <c r="AA36" s="29" t="s">
        <v>455</v>
      </c>
      <c r="AB36" s="29"/>
      <c r="AC36" s="29"/>
      <c r="AD36" s="29"/>
      <c r="AE36" s="29"/>
    </row>
    <row r="37" spans="1:31" ht="80" x14ac:dyDescent="0.2">
      <c r="A37">
        <v>6270</v>
      </c>
      <c r="B37" s="35" t="s">
        <v>467</v>
      </c>
      <c r="C37" s="32" t="s">
        <v>468</v>
      </c>
      <c r="D37" s="16" t="s">
        <v>54</v>
      </c>
      <c r="E37" s="16" t="s">
        <v>86</v>
      </c>
      <c r="F37" s="16" t="s">
        <v>87</v>
      </c>
      <c r="G37" s="16">
        <v>35552.400000000001</v>
      </c>
      <c r="H37" s="16" t="s">
        <v>469</v>
      </c>
      <c r="I37" s="16"/>
      <c r="J37" s="16" t="s">
        <v>57</v>
      </c>
      <c r="K37" s="16" t="s">
        <v>470</v>
      </c>
      <c r="L37" s="16" t="s">
        <v>471</v>
      </c>
      <c r="M37" s="16" t="s">
        <v>311</v>
      </c>
      <c r="N37" s="16" t="s">
        <v>472</v>
      </c>
      <c r="O37" s="16" t="s">
        <v>473</v>
      </c>
      <c r="P37" s="16" t="s">
        <v>474</v>
      </c>
      <c r="Q37" s="16">
        <v>695024</v>
      </c>
      <c r="R37" s="16" t="s">
        <v>475</v>
      </c>
      <c r="S37" s="16" t="s">
        <v>476</v>
      </c>
      <c r="T37" s="16" t="s">
        <v>477</v>
      </c>
      <c r="U37" s="16" t="s">
        <v>478</v>
      </c>
      <c r="V37" s="16" t="s">
        <v>479</v>
      </c>
      <c r="W37" s="16"/>
      <c r="X37" s="35"/>
      <c r="Y37" s="29"/>
      <c r="Z37" s="29"/>
      <c r="AA37" s="29"/>
      <c r="AB37" s="29"/>
      <c r="AC37" s="29"/>
      <c r="AD37" s="29"/>
      <c r="AE37" s="29"/>
    </row>
    <row r="38" spans="1:31" ht="96" x14ac:dyDescent="0.2">
      <c r="A38">
        <v>6271</v>
      </c>
      <c r="B38" s="35" t="s">
        <v>467</v>
      </c>
      <c r="C38" s="32" t="s">
        <v>480</v>
      </c>
      <c r="D38" s="16" t="s">
        <v>54</v>
      </c>
      <c r="E38" s="16" t="s">
        <v>86</v>
      </c>
      <c r="F38" s="16" t="s">
        <v>87</v>
      </c>
      <c r="G38" s="16">
        <v>42014</v>
      </c>
      <c r="H38" s="16" t="s">
        <v>481</v>
      </c>
      <c r="I38" s="16">
        <v>46079</v>
      </c>
      <c r="J38" s="16" t="s">
        <v>37</v>
      </c>
      <c r="K38" s="16" t="s">
        <v>482</v>
      </c>
      <c r="L38" s="16" t="s">
        <v>483</v>
      </c>
      <c r="M38" s="16" t="s">
        <v>484</v>
      </c>
      <c r="N38" s="16" t="s">
        <v>485</v>
      </c>
      <c r="O38" s="16" t="s">
        <v>486</v>
      </c>
      <c r="P38" s="16" t="s">
        <v>487</v>
      </c>
      <c r="Q38" s="16">
        <v>834002</v>
      </c>
      <c r="R38" s="16" t="s">
        <v>268</v>
      </c>
      <c r="S38" s="16" t="s">
        <v>488</v>
      </c>
      <c r="T38" s="16" t="s">
        <v>489</v>
      </c>
      <c r="U38" s="16" t="s">
        <v>490</v>
      </c>
      <c r="V38" s="16" t="s">
        <v>491</v>
      </c>
      <c r="W38" s="16" t="s">
        <v>492</v>
      </c>
      <c r="X38" s="35"/>
      <c r="Y38" s="29"/>
      <c r="Z38" s="29"/>
      <c r="AA38" s="29"/>
      <c r="AB38" s="29"/>
      <c r="AC38" s="29"/>
      <c r="AD38" s="29"/>
      <c r="AE38" s="29"/>
    </row>
    <row r="39" spans="1:31" ht="96" x14ac:dyDescent="0.2">
      <c r="A39">
        <v>6272</v>
      </c>
      <c r="B39" s="35" t="s">
        <v>467</v>
      </c>
      <c r="C39" s="32" t="s">
        <v>493</v>
      </c>
      <c r="D39" s="16" t="s">
        <v>54</v>
      </c>
      <c r="E39" s="16" t="s">
        <v>494</v>
      </c>
      <c r="F39" s="16" t="s">
        <v>87</v>
      </c>
      <c r="G39" s="16">
        <v>26000</v>
      </c>
      <c r="H39" s="16" t="s">
        <v>495</v>
      </c>
      <c r="I39" s="16">
        <v>46199</v>
      </c>
      <c r="J39" s="16" t="s">
        <v>57</v>
      </c>
      <c r="K39" s="16"/>
      <c r="L39" s="16" t="s">
        <v>496</v>
      </c>
      <c r="M39" s="16" t="s">
        <v>326</v>
      </c>
      <c r="N39" s="16" t="s">
        <v>497</v>
      </c>
      <c r="O39" s="16" t="s">
        <v>473</v>
      </c>
      <c r="P39" s="16" t="s">
        <v>474</v>
      </c>
      <c r="Q39" s="16">
        <v>695024</v>
      </c>
      <c r="R39" s="16" t="s">
        <v>475</v>
      </c>
      <c r="S39" s="16" t="s">
        <v>476</v>
      </c>
      <c r="T39" s="16" t="s">
        <v>477</v>
      </c>
      <c r="U39" s="16" t="s">
        <v>478</v>
      </c>
      <c r="V39" s="16" t="s">
        <v>479</v>
      </c>
      <c r="W39" s="16"/>
      <c r="X39" s="35"/>
      <c r="Y39" s="29"/>
      <c r="Z39" s="29"/>
      <c r="AA39" s="29"/>
      <c r="AB39" s="29"/>
      <c r="AC39" s="29"/>
      <c r="AD39" s="29"/>
      <c r="AE39" s="29"/>
    </row>
    <row r="40" spans="1:31" ht="96" x14ac:dyDescent="0.2">
      <c r="A40" s="70">
        <v>6273</v>
      </c>
      <c r="B40" s="35" t="s">
        <v>498</v>
      </c>
      <c r="C40" s="32" t="s">
        <v>499</v>
      </c>
      <c r="D40" s="16" t="s">
        <v>54</v>
      </c>
      <c r="E40" s="16" t="s">
        <v>34</v>
      </c>
      <c r="F40" s="16" t="s">
        <v>193</v>
      </c>
      <c r="G40" s="16">
        <v>1690</v>
      </c>
      <c r="H40" s="16" t="s">
        <v>500</v>
      </c>
      <c r="I40" s="16"/>
      <c r="J40" s="16" t="s">
        <v>57</v>
      </c>
      <c r="K40" s="16" t="s">
        <v>501</v>
      </c>
      <c r="L40" s="16" t="s">
        <v>502</v>
      </c>
      <c r="M40" s="16" t="s">
        <v>75</v>
      </c>
      <c r="N40" s="16" t="s">
        <v>503</v>
      </c>
      <c r="O40" s="16" t="s">
        <v>504</v>
      </c>
      <c r="P40" s="16" t="s">
        <v>502</v>
      </c>
      <c r="Q40" s="16">
        <v>201307</v>
      </c>
      <c r="R40" s="16" t="s">
        <v>75</v>
      </c>
      <c r="S40" s="16"/>
      <c r="T40" s="16"/>
      <c r="U40" s="16" t="s">
        <v>505</v>
      </c>
      <c r="V40" s="16" t="s">
        <v>506</v>
      </c>
      <c r="W40" s="16"/>
      <c r="X40" s="35"/>
      <c r="Y40" s="29"/>
      <c r="Z40" s="29"/>
      <c r="AA40" s="29"/>
      <c r="AB40" s="29"/>
      <c r="AC40" s="29"/>
      <c r="AD40" s="29"/>
      <c r="AE40" s="29"/>
    </row>
    <row r="41" spans="1:31" ht="64" x14ac:dyDescent="0.2">
      <c r="A41" s="70">
        <v>6274</v>
      </c>
      <c r="B41" s="35" t="s">
        <v>507</v>
      </c>
      <c r="C41" s="32" t="s">
        <v>508</v>
      </c>
      <c r="D41" s="16" t="s">
        <v>54</v>
      </c>
      <c r="E41" s="16" t="s">
        <v>34</v>
      </c>
      <c r="F41" s="16" t="s">
        <v>102</v>
      </c>
      <c r="G41" s="16">
        <v>6000</v>
      </c>
      <c r="H41" s="16" t="s">
        <v>509</v>
      </c>
      <c r="I41" s="16" t="s">
        <v>510</v>
      </c>
      <c r="J41" s="16" t="s">
        <v>57</v>
      </c>
      <c r="K41" s="16" t="s">
        <v>511</v>
      </c>
      <c r="L41" s="16" t="s">
        <v>512</v>
      </c>
      <c r="M41" s="16" t="s">
        <v>182</v>
      </c>
      <c r="N41" s="16" t="s">
        <v>513</v>
      </c>
      <c r="O41" s="16" t="s">
        <v>514</v>
      </c>
      <c r="P41" s="16" t="s">
        <v>449</v>
      </c>
      <c r="Q41" s="16">
        <v>110049</v>
      </c>
      <c r="R41" s="16" t="s">
        <v>450</v>
      </c>
      <c r="S41" s="16" t="s">
        <v>515</v>
      </c>
      <c r="T41" s="16" t="s">
        <v>516</v>
      </c>
      <c r="U41" s="16" t="s">
        <v>517</v>
      </c>
      <c r="V41" s="16" t="s">
        <v>518</v>
      </c>
      <c r="W41" s="16"/>
      <c r="X41" s="35"/>
      <c r="Y41" s="29"/>
      <c r="Z41" s="29"/>
      <c r="AA41" s="29"/>
      <c r="AB41" s="29"/>
      <c r="AC41" s="29"/>
      <c r="AD41" s="29"/>
      <c r="AE41" s="29"/>
    </row>
    <row r="42" spans="1:31" ht="64" x14ac:dyDescent="0.2">
      <c r="A42">
        <v>6275</v>
      </c>
      <c r="B42" s="35" t="s">
        <v>519</v>
      </c>
      <c r="C42" s="32" t="s">
        <v>520</v>
      </c>
      <c r="D42" s="16" t="s">
        <v>54</v>
      </c>
      <c r="E42" s="16" t="s">
        <v>86</v>
      </c>
      <c r="F42" s="16" t="s">
        <v>521</v>
      </c>
      <c r="G42" s="16">
        <v>24010</v>
      </c>
      <c r="H42" s="16" t="s">
        <v>522</v>
      </c>
      <c r="I42" s="16">
        <v>46199</v>
      </c>
      <c r="J42" s="16" t="s">
        <v>37</v>
      </c>
      <c r="K42" s="16" t="s">
        <v>523</v>
      </c>
      <c r="L42" s="16" t="s">
        <v>524</v>
      </c>
      <c r="M42" s="16" t="s">
        <v>315</v>
      </c>
      <c r="N42" s="16" t="s">
        <v>525</v>
      </c>
      <c r="O42" s="16" t="s">
        <v>526</v>
      </c>
      <c r="P42" s="16" t="s">
        <v>527</v>
      </c>
      <c r="Q42" s="16">
        <v>768001</v>
      </c>
      <c r="R42" s="16" t="s">
        <v>528</v>
      </c>
      <c r="S42" s="16" t="s">
        <v>529</v>
      </c>
      <c r="T42" s="16" t="s">
        <v>530</v>
      </c>
      <c r="U42" s="16" t="s">
        <v>531</v>
      </c>
      <c r="V42" s="16" t="s">
        <v>532</v>
      </c>
      <c r="W42" s="16"/>
      <c r="X42" s="35"/>
      <c r="Y42" s="29"/>
      <c r="Z42" s="29"/>
      <c r="AA42" s="29"/>
      <c r="AB42" s="29"/>
      <c r="AC42" s="29"/>
      <c r="AD42" s="29"/>
      <c r="AE42" s="29"/>
    </row>
    <row r="43" spans="1:31" ht="96" x14ac:dyDescent="0.2">
      <c r="A43">
        <v>6276</v>
      </c>
      <c r="B43" s="35" t="s">
        <v>533</v>
      </c>
      <c r="C43" s="32" t="s">
        <v>534</v>
      </c>
      <c r="D43" s="16" t="s">
        <v>54</v>
      </c>
      <c r="E43" s="16" t="s">
        <v>86</v>
      </c>
      <c r="F43" s="16" t="s">
        <v>87</v>
      </c>
      <c r="G43" s="16">
        <v>31685.8</v>
      </c>
      <c r="H43" s="16" t="s">
        <v>535</v>
      </c>
      <c r="I43" s="16">
        <v>46293</v>
      </c>
      <c r="J43" s="16" t="s">
        <v>37</v>
      </c>
      <c r="K43" s="16" t="s">
        <v>536</v>
      </c>
      <c r="L43" s="16"/>
      <c r="M43" s="16" t="s">
        <v>537</v>
      </c>
      <c r="N43" s="16" t="s">
        <v>538</v>
      </c>
      <c r="O43" s="16" t="s">
        <v>539</v>
      </c>
      <c r="P43" s="16" t="s">
        <v>540</v>
      </c>
      <c r="Q43" s="16">
        <v>221002</v>
      </c>
      <c r="R43" s="16" t="s">
        <v>75</v>
      </c>
      <c r="S43" s="16" t="s">
        <v>541</v>
      </c>
      <c r="T43" s="16" t="s">
        <v>542</v>
      </c>
      <c r="U43" s="16" t="s">
        <v>543</v>
      </c>
      <c r="V43" s="16" t="s">
        <v>544</v>
      </c>
      <c r="W43" s="16"/>
      <c r="X43" s="35"/>
      <c r="Y43" s="29"/>
      <c r="Z43" s="29"/>
      <c r="AA43" s="29"/>
      <c r="AB43" s="29"/>
      <c r="AC43" s="29"/>
      <c r="AD43" s="29"/>
      <c r="AE43" s="29"/>
    </row>
    <row r="44" spans="1:31" ht="96" x14ac:dyDescent="0.2">
      <c r="A44">
        <v>6277</v>
      </c>
      <c r="B44" s="35" t="s">
        <v>545</v>
      </c>
      <c r="C44" s="32" t="s">
        <v>546</v>
      </c>
      <c r="D44" s="16" t="s">
        <v>54</v>
      </c>
      <c r="E44" s="16" t="s">
        <v>86</v>
      </c>
      <c r="F44" s="16" t="s">
        <v>163</v>
      </c>
      <c r="G44" s="16">
        <v>204456</v>
      </c>
      <c r="H44" s="16" t="s">
        <v>547</v>
      </c>
      <c r="I44" s="16">
        <v>46053</v>
      </c>
      <c r="J44" s="16" t="s">
        <v>37</v>
      </c>
      <c r="K44" s="16" t="s">
        <v>548</v>
      </c>
      <c r="L44" s="16" t="s">
        <v>549</v>
      </c>
      <c r="M44" s="16" t="s">
        <v>59</v>
      </c>
      <c r="N44" s="16" t="s">
        <v>550</v>
      </c>
      <c r="O44" s="16" t="s">
        <v>551</v>
      </c>
      <c r="P44" s="16" t="s">
        <v>502</v>
      </c>
      <c r="Q44" s="16">
        <v>201301</v>
      </c>
      <c r="R44" s="16" t="s">
        <v>75</v>
      </c>
      <c r="S44" s="16" t="s">
        <v>552</v>
      </c>
      <c r="T44" s="16" t="s">
        <v>553</v>
      </c>
      <c r="U44" s="16" t="s">
        <v>554</v>
      </c>
      <c r="V44" s="16" t="s">
        <v>555</v>
      </c>
      <c r="W44" s="16"/>
      <c r="X44" s="35"/>
      <c r="Y44" s="29"/>
      <c r="Z44" s="29"/>
      <c r="AA44" s="29"/>
      <c r="AB44" s="29"/>
      <c r="AC44" s="29"/>
      <c r="AD44" s="29"/>
      <c r="AE44" s="29"/>
    </row>
    <row r="45" spans="1:31" ht="96" x14ac:dyDescent="0.2">
      <c r="A45">
        <v>6278</v>
      </c>
      <c r="B45" s="35" t="s">
        <v>556</v>
      </c>
      <c r="C45" s="32" t="s">
        <v>557</v>
      </c>
      <c r="D45" s="16" t="s">
        <v>54</v>
      </c>
      <c r="E45" s="16" t="s">
        <v>34</v>
      </c>
      <c r="F45" s="16" t="s">
        <v>265</v>
      </c>
      <c r="G45" s="16">
        <v>2500</v>
      </c>
      <c r="H45" s="16" t="s">
        <v>558</v>
      </c>
      <c r="I45" s="16" t="s">
        <v>510</v>
      </c>
      <c r="J45" s="16" t="s">
        <v>57</v>
      </c>
      <c r="K45" s="16" t="s">
        <v>559</v>
      </c>
      <c r="L45" s="16" t="s">
        <v>560</v>
      </c>
      <c r="M45" s="16" t="s">
        <v>561</v>
      </c>
      <c r="N45" s="16" t="s">
        <v>562</v>
      </c>
      <c r="O45" s="16" t="s">
        <v>563</v>
      </c>
      <c r="P45" s="16" t="s">
        <v>449</v>
      </c>
      <c r="Q45" s="16">
        <v>110054</v>
      </c>
      <c r="R45" s="16" t="s">
        <v>450</v>
      </c>
      <c r="S45" s="16" t="s">
        <v>564</v>
      </c>
      <c r="T45" s="16" t="s">
        <v>565</v>
      </c>
      <c r="U45" s="16" t="s">
        <v>566</v>
      </c>
      <c r="V45" s="16" t="s">
        <v>567</v>
      </c>
      <c r="W45" s="16">
        <v>1123890505</v>
      </c>
      <c r="X45" s="35" t="s">
        <v>568</v>
      </c>
      <c r="Y45" s="29"/>
      <c r="Z45" s="29"/>
      <c r="AA45" s="29"/>
      <c r="AB45" s="29"/>
      <c r="AC45" s="29"/>
      <c r="AD45" s="29"/>
      <c r="AE45" s="29"/>
    </row>
    <row r="46" spans="1:31" ht="112" x14ac:dyDescent="0.2">
      <c r="A46">
        <v>6279</v>
      </c>
      <c r="B46" s="35" t="s">
        <v>569</v>
      </c>
      <c r="C46" s="32" t="s">
        <v>570</v>
      </c>
      <c r="D46" s="16" t="s">
        <v>54</v>
      </c>
      <c r="E46" s="16" t="s">
        <v>34</v>
      </c>
      <c r="F46" s="16" t="s">
        <v>193</v>
      </c>
      <c r="G46" s="16">
        <v>6500</v>
      </c>
      <c r="H46" s="16" t="s">
        <v>571</v>
      </c>
      <c r="I46" s="16"/>
      <c r="J46" s="16" t="s">
        <v>57</v>
      </c>
      <c r="K46" s="16" t="s">
        <v>181</v>
      </c>
      <c r="L46" s="16" t="s">
        <v>181</v>
      </c>
      <c r="M46" s="16" t="s">
        <v>182</v>
      </c>
      <c r="N46" s="16" t="s">
        <v>572</v>
      </c>
      <c r="O46" s="16" t="s">
        <v>573</v>
      </c>
      <c r="P46" s="16" t="s">
        <v>181</v>
      </c>
      <c r="Q46" s="16">
        <v>641401</v>
      </c>
      <c r="R46" s="16" t="s">
        <v>182</v>
      </c>
      <c r="S46" s="16" t="s">
        <v>574</v>
      </c>
      <c r="T46" s="16" t="s">
        <v>575</v>
      </c>
      <c r="U46" s="16" t="s">
        <v>576</v>
      </c>
      <c r="V46" s="16" t="s">
        <v>577</v>
      </c>
      <c r="W46" s="16"/>
      <c r="X46" s="35"/>
      <c r="Y46" s="29"/>
      <c r="Z46" s="29"/>
      <c r="AA46" s="29"/>
      <c r="AB46" s="29"/>
      <c r="AC46" s="29"/>
      <c r="AD46" s="29"/>
      <c r="AE46" s="29"/>
    </row>
    <row r="47" spans="1:31" ht="112" x14ac:dyDescent="0.2">
      <c r="A47">
        <v>6280</v>
      </c>
      <c r="B47" s="35" t="s">
        <v>578</v>
      </c>
      <c r="C47" s="32" t="s">
        <v>579</v>
      </c>
      <c r="D47" s="16" t="s">
        <v>33</v>
      </c>
      <c r="E47" s="16" t="s">
        <v>34</v>
      </c>
      <c r="F47" s="16" t="s">
        <v>265</v>
      </c>
      <c r="G47" s="16">
        <v>1360.57</v>
      </c>
      <c r="H47" s="16" t="s">
        <v>580</v>
      </c>
      <c r="I47" s="16">
        <v>46138</v>
      </c>
      <c r="J47" s="16" t="s">
        <v>37</v>
      </c>
      <c r="K47" s="16" t="s">
        <v>581</v>
      </c>
      <c r="L47" s="16" t="s">
        <v>540</v>
      </c>
      <c r="M47" s="16" t="s">
        <v>75</v>
      </c>
      <c r="N47" s="16" t="s">
        <v>582</v>
      </c>
      <c r="O47" s="16" t="s">
        <v>583</v>
      </c>
      <c r="P47" s="16" t="s">
        <v>540</v>
      </c>
      <c r="Q47" s="16">
        <v>221008</v>
      </c>
      <c r="R47" s="16" t="s">
        <v>75</v>
      </c>
      <c r="S47" s="16" t="s">
        <v>584</v>
      </c>
      <c r="T47" s="16" t="s">
        <v>585</v>
      </c>
      <c r="U47" s="16" t="s">
        <v>586</v>
      </c>
      <c r="V47" s="16" t="s">
        <v>587</v>
      </c>
      <c r="W47" s="16"/>
      <c r="X47" s="35"/>
      <c r="Y47" s="29"/>
      <c r="Z47" s="29"/>
      <c r="AA47" s="29"/>
      <c r="AB47" s="29"/>
      <c r="AC47" s="29"/>
      <c r="AD47" s="29"/>
      <c r="AE47" s="29"/>
    </row>
    <row r="48" spans="1:31" ht="96" x14ac:dyDescent="0.2">
      <c r="A48" s="70">
        <v>6281</v>
      </c>
      <c r="B48" s="35" t="s">
        <v>588</v>
      </c>
      <c r="C48" s="32" t="s">
        <v>589</v>
      </c>
      <c r="D48" s="16" t="s">
        <v>33</v>
      </c>
      <c r="E48" s="16" t="s">
        <v>34</v>
      </c>
      <c r="F48" s="16" t="s">
        <v>87</v>
      </c>
      <c r="G48" s="16">
        <v>35580</v>
      </c>
      <c r="H48" s="16" t="s">
        <v>590</v>
      </c>
      <c r="I48" s="16">
        <v>46385</v>
      </c>
      <c r="J48" s="16" t="s">
        <v>37</v>
      </c>
      <c r="K48" s="16" t="s">
        <v>591</v>
      </c>
      <c r="L48" s="16" t="s">
        <v>254</v>
      </c>
      <c r="M48" s="16" t="s">
        <v>40</v>
      </c>
      <c r="N48" s="16" t="s">
        <v>592</v>
      </c>
      <c r="O48" s="16" t="s">
        <v>593</v>
      </c>
      <c r="P48" s="16" t="s">
        <v>62</v>
      </c>
      <c r="Q48" s="16">
        <v>382421</v>
      </c>
      <c r="R48" s="16" t="s">
        <v>40</v>
      </c>
      <c r="S48" s="16" t="s">
        <v>594</v>
      </c>
      <c r="T48" s="22" t="s">
        <v>595</v>
      </c>
      <c r="U48" s="16" t="s">
        <v>596</v>
      </c>
      <c r="V48" s="16"/>
      <c r="W48" s="16"/>
      <c r="X48" s="35"/>
      <c r="Y48" s="29"/>
      <c r="Z48" s="29"/>
      <c r="AA48" s="29"/>
      <c r="AB48" s="29"/>
      <c r="AC48" s="29"/>
      <c r="AD48" s="29"/>
      <c r="AE48" s="29"/>
    </row>
    <row r="49" spans="1:31" ht="112" x14ac:dyDescent="0.2">
      <c r="A49">
        <v>6282</v>
      </c>
      <c r="B49" s="35" t="s">
        <v>597</v>
      </c>
      <c r="C49" s="32" t="s">
        <v>598</v>
      </c>
      <c r="D49" s="16" t="s">
        <v>33</v>
      </c>
      <c r="E49" s="16" t="s">
        <v>34</v>
      </c>
      <c r="F49" s="16" t="s">
        <v>35</v>
      </c>
      <c r="G49" s="16">
        <v>197</v>
      </c>
      <c r="H49" s="16" t="s">
        <v>599</v>
      </c>
      <c r="I49" s="16"/>
      <c r="J49" s="16" t="s">
        <v>37</v>
      </c>
      <c r="K49" s="16" t="s">
        <v>600</v>
      </c>
      <c r="L49" s="16" t="s">
        <v>350</v>
      </c>
      <c r="M49" s="16" t="s">
        <v>40</v>
      </c>
      <c r="N49" s="16" t="s">
        <v>601</v>
      </c>
      <c r="O49" s="16" t="s">
        <v>602</v>
      </c>
      <c r="P49" s="16" t="s">
        <v>235</v>
      </c>
      <c r="Q49" s="16">
        <v>400056</v>
      </c>
      <c r="R49" s="16" t="s">
        <v>236</v>
      </c>
      <c r="S49" s="16" t="s">
        <v>603</v>
      </c>
      <c r="T49" s="16" t="s">
        <v>604</v>
      </c>
      <c r="U49" s="16" t="s">
        <v>605</v>
      </c>
      <c r="V49" s="16"/>
      <c r="W49" s="16"/>
      <c r="X49" s="35"/>
      <c r="Y49" s="29"/>
      <c r="Z49" s="29"/>
      <c r="AA49" s="29"/>
      <c r="AB49" s="29"/>
      <c r="AC49" s="29"/>
      <c r="AD49" s="29"/>
      <c r="AE49" s="29"/>
    </row>
    <row r="50" spans="1:31" ht="96" x14ac:dyDescent="0.2">
      <c r="A50">
        <v>6283</v>
      </c>
      <c r="B50" s="35" t="s">
        <v>606</v>
      </c>
      <c r="C50" s="32" t="s">
        <v>607</v>
      </c>
      <c r="D50" s="16" t="s">
        <v>33</v>
      </c>
      <c r="E50" s="16" t="s">
        <v>34</v>
      </c>
      <c r="F50" s="16" t="s">
        <v>102</v>
      </c>
      <c r="G50" s="16">
        <v>400</v>
      </c>
      <c r="H50" s="16" t="s">
        <v>608</v>
      </c>
      <c r="I50" s="16"/>
      <c r="J50" s="16" t="s">
        <v>57</v>
      </c>
      <c r="K50" s="16" t="s">
        <v>181</v>
      </c>
      <c r="L50" s="16" t="s">
        <v>181</v>
      </c>
      <c r="M50" s="16" t="s">
        <v>182</v>
      </c>
      <c r="N50" s="16" t="s">
        <v>609</v>
      </c>
      <c r="O50" s="16" t="s">
        <v>610</v>
      </c>
      <c r="P50" s="16" t="s">
        <v>181</v>
      </c>
      <c r="Q50" s="16">
        <v>641103</v>
      </c>
      <c r="R50" s="16" t="s">
        <v>182</v>
      </c>
      <c r="S50" s="16" t="s">
        <v>611</v>
      </c>
      <c r="T50" s="16" t="s">
        <v>612</v>
      </c>
      <c r="U50" s="16" t="s">
        <v>613</v>
      </c>
      <c r="V50" s="16"/>
      <c r="W50" s="16"/>
      <c r="X50" s="35"/>
      <c r="Y50" s="29"/>
      <c r="Z50" s="29"/>
      <c r="AA50" s="29"/>
      <c r="AB50" s="29"/>
      <c r="AC50" s="29"/>
      <c r="AD50" s="29"/>
      <c r="AE50" s="29"/>
    </row>
    <row r="51" spans="1:31" ht="112" x14ac:dyDescent="0.2">
      <c r="A51">
        <v>6284</v>
      </c>
      <c r="B51" s="35" t="s">
        <v>614</v>
      </c>
      <c r="C51" s="32" t="s">
        <v>615</v>
      </c>
      <c r="D51" s="16" t="s">
        <v>54</v>
      </c>
      <c r="E51" s="16" t="s">
        <v>34</v>
      </c>
      <c r="F51" s="16" t="s">
        <v>87</v>
      </c>
      <c r="G51" s="16">
        <v>1700</v>
      </c>
      <c r="H51" s="16" t="s">
        <v>616</v>
      </c>
      <c r="I51" s="16">
        <v>46110</v>
      </c>
      <c r="J51" s="16" t="s">
        <v>37</v>
      </c>
      <c r="K51" s="16" t="s">
        <v>617</v>
      </c>
      <c r="L51" s="16" t="s">
        <v>618</v>
      </c>
      <c r="M51" s="16" t="s">
        <v>91</v>
      </c>
      <c r="N51" s="16" t="s">
        <v>619</v>
      </c>
      <c r="O51" s="16" t="s">
        <v>620</v>
      </c>
      <c r="P51" s="16" t="s">
        <v>621</v>
      </c>
      <c r="Q51" s="16">
        <v>122001</v>
      </c>
      <c r="R51" s="16" t="s">
        <v>223</v>
      </c>
      <c r="S51" s="16"/>
      <c r="T51" s="16"/>
      <c r="U51" s="16" t="s">
        <v>622</v>
      </c>
      <c r="V51" s="16" t="s">
        <v>623</v>
      </c>
      <c r="W51" s="16"/>
      <c r="X51" s="35"/>
      <c r="Y51" s="29"/>
      <c r="Z51" s="29"/>
      <c r="AA51" s="29"/>
      <c r="AB51" s="29"/>
      <c r="AC51" s="29"/>
      <c r="AD51" s="29"/>
      <c r="AE51" s="29"/>
    </row>
    <row r="52" spans="1:31" ht="96" x14ac:dyDescent="0.2">
      <c r="A52">
        <v>6285</v>
      </c>
      <c r="B52" s="35" t="s">
        <v>624</v>
      </c>
      <c r="C52" s="32" t="s">
        <v>625</v>
      </c>
      <c r="D52" s="16" t="s">
        <v>54</v>
      </c>
      <c r="E52" s="16" t="s">
        <v>34</v>
      </c>
      <c r="F52" s="16" t="s">
        <v>102</v>
      </c>
      <c r="G52" s="16">
        <v>1960</v>
      </c>
      <c r="H52" s="16" t="s">
        <v>626</v>
      </c>
      <c r="I52" s="16"/>
      <c r="J52" s="16" t="s">
        <v>57</v>
      </c>
      <c r="K52" s="16" t="s">
        <v>627</v>
      </c>
      <c r="L52" s="16" t="s">
        <v>628</v>
      </c>
      <c r="M52" s="16" t="s">
        <v>182</v>
      </c>
      <c r="N52" s="16" t="s">
        <v>629</v>
      </c>
      <c r="O52" s="16" t="s">
        <v>630</v>
      </c>
      <c r="P52" s="16" t="s">
        <v>631</v>
      </c>
      <c r="Q52" s="16">
        <v>502329</v>
      </c>
      <c r="R52" s="16" t="s">
        <v>169</v>
      </c>
      <c r="S52" s="16" t="s">
        <v>632</v>
      </c>
      <c r="T52" s="16" t="s">
        <v>633</v>
      </c>
      <c r="U52" s="16" t="s">
        <v>634</v>
      </c>
      <c r="V52" s="16" t="s">
        <v>635</v>
      </c>
      <c r="W52" s="16"/>
      <c r="X52" s="35"/>
      <c r="Y52" s="29"/>
      <c r="Z52" s="29"/>
      <c r="AA52" s="29"/>
      <c r="AB52" s="29"/>
      <c r="AC52" s="29"/>
      <c r="AD52" s="29"/>
      <c r="AE52" s="29"/>
    </row>
    <row r="53" spans="1:31" ht="112" x14ac:dyDescent="0.2">
      <c r="A53">
        <v>6286</v>
      </c>
      <c r="B53" s="35" t="s">
        <v>636</v>
      </c>
      <c r="C53" s="32" t="s">
        <v>637</v>
      </c>
      <c r="D53" s="16" t="s">
        <v>54</v>
      </c>
      <c r="E53" s="16" t="s">
        <v>638</v>
      </c>
      <c r="F53" s="16" t="s">
        <v>87</v>
      </c>
      <c r="G53" s="16">
        <v>5553.7</v>
      </c>
      <c r="H53" s="16" t="s">
        <v>639</v>
      </c>
      <c r="I53" s="16">
        <v>46170</v>
      </c>
      <c r="J53" s="16" t="s">
        <v>37</v>
      </c>
      <c r="K53" s="16" t="s">
        <v>640</v>
      </c>
      <c r="L53" s="16" t="s">
        <v>641</v>
      </c>
      <c r="M53" s="16" t="s">
        <v>182</v>
      </c>
      <c r="N53" s="16" t="s">
        <v>642</v>
      </c>
      <c r="O53" s="16" t="s">
        <v>643</v>
      </c>
      <c r="P53" s="16" t="s">
        <v>644</v>
      </c>
      <c r="Q53" s="16">
        <v>600008</v>
      </c>
      <c r="R53" s="16" t="s">
        <v>182</v>
      </c>
      <c r="S53" s="16" t="s">
        <v>645</v>
      </c>
      <c r="T53" s="16" t="s">
        <v>646</v>
      </c>
      <c r="U53" s="16" t="s">
        <v>647</v>
      </c>
      <c r="V53" s="16" t="s">
        <v>648</v>
      </c>
      <c r="W53" s="16"/>
      <c r="X53" s="35"/>
      <c r="Y53" s="29"/>
      <c r="Z53" s="29"/>
      <c r="AA53" s="29"/>
      <c r="AB53" s="29"/>
      <c r="AC53" s="29"/>
      <c r="AD53" s="29"/>
      <c r="AE53" s="29"/>
    </row>
    <row r="54" spans="1:31" ht="112" x14ac:dyDescent="0.2">
      <c r="A54">
        <v>6287</v>
      </c>
      <c r="B54" s="35" t="s">
        <v>649</v>
      </c>
      <c r="C54" s="32" t="s">
        <v>650</v>
      </c>
      <c r="D54" s="16" t="s">
        <v>54</v>
      </c>
      <c r="E54" s="16" t="s">
        <v>34</v>
      </c>
      <c r="F54" s="16" t="s">
        <v>163</v>
      </c>
      <c r="G54" s="16">
        <v>55254.3</v>
      </c>
      <c r="H54" s="16" t="s">
        <v>651</v>
      </c>
      <c r="I54" s="16"/>
      <c r="J54" s="16" t="s">
        <v>37</v>
      </c>
      <c r="K54" s="16" t="s">
        <v>652</v>
      </c>
      <c r="L54" s="16" t="s">
        <v>653</v>
      </c>
      <c r="M54" s="16" t="s">
        <v>134</v>
      </c>
      <c r="N54" s="16" t="s">
        <v>654</v>
      </c>
      <c r="O54" s="16" t="s">
        <v>655</v>
      </c>
      <c r="P54" s="16" t="s">
        <v>235</v>
      </c>
      <c r="Q54" s="16">
        <v>400072</v>
      </c>
      <c r="R54" s="16" t="s">
        <v>236</v>
      </c>
      <c r="S54" s="16" t="s">
        <v>656</v>
      </c>
      <c r="T54" s="16" t="s">
        <v>657</v>
      </c>
      <c r="U54" s="16" t="s">
        <v>658</v>
      </c>
      <c r="V54" s="16" t="s">
        <v>659</v>
      </c>
      <c r="W54" s="22" t="s">
        <v>660</v>
      </c>
      <c r="X54" s="35" t="s">
        <v>661</v>
      </c>
      <c r="Y54" s="29"/>
      <c r="Z54" s="29"/>
      <c r="AA54" s="29"/>
      <c r="AB54" s="29"/>
      <c r="AC54" s="29" t="s">
        <v>662</v>
      </c>
      <c r="AD54" s="29"/>
      <c r="AE54" s="29"/>
    </row>
    <row r="55" spans="1:31" ht="112" x14ac:dyDescent="0.2">
      <c r="A55" s="70">
        <v>6288</v>
      </c>
      <c r="B55" s="35" t="s">
        <v>663</v>
      </c>
      <c r="C55" s="32" t="s">
        <v>664</v>
      </c>
      <c r="D55" s="16" t="s">
        <v>54</v>
      </c>
      <c r="E55" s="16" t="s">
        <v>34</v>
      </c>
      <c r="F55" s="16" t="s">
        <v>71</v>
      </c>
      <c r="G55" s="16">
        <v>12500</v>
      </c>
      <c r="H55" s="16" t="s">
        <v>665</v>
      </c>
      <c r="I55" s="16"/>
      <c r="J55" s="16" t="s">
        <v>57</v>
      </c>
      <c r="K55" s="16" t="s">
        <v>666</v>
      </c>
      <c r="L55" s="16" t="s">
        <v>374</v>
      </c>
      <c r="M55" s="16" t="s">
        <v>59</v>
      </c>
      <c r="N55" s="16" t="s">
        <v>667</v>
      </c>
      <c r="O55" s="16" t="s">
        <v>668</v>
      </c>
      <c r="P55" s="16" t="s">
        <v>118</v>
      </c>
      <c r="Q55" s="16">
        <v>454774</v>
      </c>
      <c r="R55" s="16" t="s">
        <v>75</v>
      </c>
      <c r="S55" s="16" t="s">
        <v>669</v>
      </c>
      <c r="T55" s="22" t="s">
        <v>670</v>
      </c>
      <c r="U55" s="16" t="s">
        <v>671</v>
      </c>
      <c r="V55" s="16" t="s">
        <v>672</v>
      </c>
      <c r="W55" s="16"/>
      <c r="X55" s="35"/>
      <c r="Y55" s="29"/>
      <c r="Z55" s="29"/>
      <c r="AA55" s="29"/>
      <c r="AB55" s="29"/>
      <c r="AC55" s="29"/>
      <c r="AD55" s="29"/>
      <c r="AE55" s="29"/>
    </row>
    <row r="56" spans="1:31" ht="96" x14ac:dyDescent="0.2">
      <c r="A56">
        <v>6289</v>
      </c>
      <c r="B56" s="35" t="s">
        <v>673</v>
      </c>
      <c r="C56" s="32" t="s">
        <v>674</v>
      </c>
      <c r="D56" s="16" t="s">
        <v>33</v>
      </c>
      <c r="E56" s="16" t="s">
        <v>34</v>
      </c>
      <c r="F56" s="16" t="s">
        <v>35</v>
      </c>
      <c r="G56" s="16">
        <v>100</v>
      </c>
      <c r="H56" s="16" t="s">
        <v>675</v>
      </c>
      <c r="I56" s="16">
        <v>46108</v>
      </c>
      <c r="J56" s="16" t="s">
        <v>37</v>
      </c>
      <c r="K56" s="16" t="s">
        <v>676</v>
      </c>
      <c r="L56" s="16" t="s">
        <v>350</v>
      </c>
      <c r="M56" s="16" t="s">
        <v>40</v>
      </c>
      <c r="N56" s="16" t="s">
        <v>677</v>
      </c>
      <c r="O56" s="16" t="s">
        <v>678</v>
      </c>
      <c r="P56" s="16" t="s">
        <v>350</v>
      </c>
      <c r="Q56" s="16">
        <v>394116</v>
      </c>
      <c r="R56" s="16" t="s">
        <v>40</v>
      </c>
      <c r="S56" s="16" t="s">
        <v>679</v>
      </c>
      <c r="T56" s="16" t="s">
        <v>680</v>
      </c>
      <c r="U56" s="16" t="s">
        <v>681</v>
      </c>
      <c r="V56" s="16" t="s">
        <v>682</v>
      </c>
      <c r="W56" s="16" t="s">
        <v>683</v>
      </c>
      <c r="X56" s="35"/>
      <c r="Y56" s="29"/>
      <c r="Z56" s="29"/>
      <c r="AA56" s="29"/>
      <c r="AB56" s="29"/>
      <c r="AC56" s="29"/>
      <c r="AD56" s="29"/>
      <c r="AE56" s="29"/>
    </row>
    <row r="57" spans="1:31" ht="128" x14ac:dyDescent="0.2">
      <c r="A57" s="70">
        <v>6290</v>
      </c>
      <c r="B57" s="35" t="s">
        <v>684</v>
      </c>
      <c r="C57" s="32" t="s">
        <v>685</v>
      </c>
      <c r="D57" s="16" t="s">
        <v>54</v>
      </c>
      <c r="E57" s="16" t="s">
        <v>34</v>
      </c>
      <c r="F57" s="16" t="s">
        <v>102</v>
      </c>
      <c r="G57" s="16">
        <v>12601.4</v>
      </c>
      <c r="H57" s="16" t="s">
        <v>686</v>
      </c>
      <c r="I57" s="16">
        <v>46049</v>
      </c>
      <c r="J57" s="16" t="s">
        <v>37</v>
      </c>
      <c r="K57" s="16" t="s">
        <v>687</v>
      </c>
      <c r="L57" s="16" t="s">
        <v>688</v>
      </c>
      <c r="M57" s="16" t="s">
        <v>182</v>
      </c>
      <c r="N57" s="16" t="s">
        <v>689</v>
      </c>
      <c r="O57" s="16" t="s">
        <v>690</v>
      </c>
      <c r="P57" s="16" t="s">
        <v>271</v>
      </c>
      <c r="Q57" s="16">
        <v>700107</v>
      </c>
      <c r="R57" s="16" t="s">
        <v>138</v>
      </c>
      <c r="S57" s="16" t="s">
        <v>691</v>
      </c>
      <c r="T57" s="22" t="s">
        <v>692</v>
      </c>
      <c r="U57" s="16" t="s">
        <v>693</v>
      </c>
      <c r="V57" s="16" t="s">
        <v>694</v>
      </c>
      <c r="W57" s="16"/>
      <c r="X57" s="35"/>
      <c r="Y57" s="29"/>
      <c r="Z57" s="29"/>
      <c r="AA57" s="29"/>
      <c r="AB57" s="29"/>
      <c r="AC57" s="29"/>
      <c r="AD57" s="29"/>
      <c r="AE57" s="29"/>
    </row>
  </sheetData>
  <hyperlinks>
    <hyperlink ref="W5" r:id="rId1" display="saksham.sirotiya@gmail.com" xr:uid="{4F0C3014-173A-4DF4-BF63-0595B4582B3B}"/>
    <hyperlink ref="W6" r:id="rId2" display="siwachnaveen42@gmail.com" xr:uid="{008FCD6F-5A6D-471B-BBCB-8EFAC4060315}"/>
    <hyperlink ref="T57" r:id="rId3" xr:uid="{DF1DF2D0-DECD-48EB-A534-8914831A92BA}"/>
    <hyperlink ref="T55" r:id="rId4" xr:uid="{F98C22D8-D9BF-47CD-9D60-7A887BAFEDAB}"/>
    <hyperlink ref="T48" r:id="rId5" xr:uid="{6B202500-9E67-4CA2-A6D8-6DC341926281}"/>
    <hyperlink ref="W54" r:id="rId6" xr:uid="{D6818B38-2990-495D-AA0A-3C1AEA559EFA}"/>
  </hyperlinks>
  <pageMargins left="0.7" right="0.7" top="0.75" bottom="0.75" header="0.3" footer="0.3"/>
  <pageSetup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91A6D-BC47-4571-8A2C-5CE72E039BC4}">
  <dimension ref="A1:W30"/>
  <sheetViews>
    <sheetView workbookViewId="0">
      <selection activeCell="B1" sqref="B1"/>
    </sheetView>
  </sheetViews>
  <sheetFormatPr baseColWidth="10" defaultColWidth="8.83203125" defaultRowHeight="15" x14ac:dyDescent="0.2"/>
  <cols>
    <col min="2" max="2" width="52.1640625" bestFit="1" customWidth="1"/>
    <col min="3" max="3" width="93.5" bestFit="1" customWidth="1"/>
  </cols>
  <sheetData>
    <row r="1" spans="1:23" x14ac:dyDescent="0.2">
      <c r="A1" s="60">
        <v>6261</v>
      </c>
      <c r="B1" s="60" t="s">
        <v>370</v>
      </c>
      <c r="C1" s="60" t="s">
        <v>371</v>
      </c>
      <c r="D1" s="60" t="s">
        <v>54</v>
      </c>
      <c r="E1" s="60" t="s">
        <v>34</v>
      </c>
      <c r="F1" s="60" t="s">
        <v>265</v>
      </c>
      <c r="G1" s="60">
        <v>4653.6000000000004</v>
      </c>
      <c r="H1" s="60" t="s">
        <v>372</v>
      </c>
      <c r="I1" s="61">
        <v>46109</v>
      </c>
      <c r="J1" s="60" t="s">
        <v>37</v>
      </c>
      <c r="K1" s="60" t="s">
        <v>373</v>
      </c>
      <c r="L1" s="60" t="s">
        <v>374</v>
      </c>
      <c r="M1" s="60" t="s">
        <v>59</v>
      </c>
      <c r="N1" s="60" t="s">
        <v>375</v>
      </c>
      <c r="O1" s="60" t="s">
        <v>376</v>
      </c>
      <c r="P1" s="60" t="s">
        <v>374</v>
      </c>
      <c r="Q1" s="60">
        <v>452001</v>
      </c>
      <c r="R1" s="60" t="s">
        <v>59</v>
      </c>
      <c r="S1" s="60"/>
      <c r="T1" s="60" t="s">
        <v>377</v>
      </c>
      <c r="U1" s="60" t="s">
        <v>378</v>
      </c>
      <c r="V1" s="60" t="s">
        <v>379</v>
      </c>
      <c r="W1" s="60"/>
    </row>
    <row r="2" spans="1:23" x14ac:dyDescent="0.2">
      <c r="A2" s="60">
        <v>6262</v>
      </c>
      <c r="B2" s="60" t="s">
        <v>381</v>
      </c>
      <c r="C2" s="60" t="s">
        <v>382</v>
      </c>
      <c r="D2" s="60" t="s">
        <v>54</v>
      </c>
      <c r="E2" s="60" t="s">
        <v>34</v>
      </c>
      <c r="F2" s="60" t="s">
        <v>265</v>
      </c>
      <c r="G2" s="60">
        <v>600</v>
      </c>
      <c r="H2" s="60" t="s">
        <v>383</v>
      </c>
      <c r="I2" s="61">
        <v>46108</v>
      </c>
      <c r="J2" s="60" t="s">
        <v>37</v>
      </c>
      <c r="K2" s="60" t="s">
        <v>384</v>
      </c>
      <c r="L2" s="60" t="s">
        <v>385</v>
      </c>
      <c r="M2" s="60" t="s">
        <v>134</v>
      </c>
      <c r="N2" s="60" t="s">
        <v>386</v>
      </c>
      <c r="O2" s="60" t="s">
        <v>387</v>
      </c>
      <c r="P2" s="60" t="s">
        <v>385</v>
      </c>
      <c r="Q2" s="60">
        <v>844101</v>
      </c>
      <c r="R2" s="60" t="s">
        <v>134</v>
      </c>
      <c r="S2" s="60" t="s">
        <v>388</v>
      </c>
      <c r="T2" s="60" t="s">
        <v>389</v>
      </c>
      <c r="U2" s="60" t="s">
        <v>390</v>
      </c>
      <c r="V2" s="60" t="s">
        <v>391</v>
      </c>
      <c r="W2" s="60"/>
    </row>
    <row r="3" spans="1:23" x14ac:dyDescent="0.2">
      <c r="A3" s="60">
        <v>6263</v>
      </c>
      <c r="B3" s="60" t="s">
        <v>392</v>
      </c>
      <c r="C3" s="60" t="s">
        <v>393</v>
      </c>
      <c r="D3" s="60" t="s">
        <v>54</v>
      </c>
      <c r="E3" s="60" t="s">
        <v>34</v>
      </c>
      <c r="F3" s="60" t="s">
        <v>102</v>
      </c>
      <c r="G3" s="60">
        <v>86.76</v>
      </c>
      <c r="H3" s="60" t="s">
        <v>394</v>
      </c>
      <c r="I3" s="60"/>
      <c r="J3" s="60" t="s">
        <v>323</v>
      </c>
      <c r="K3" s="60" t="s">
        <v>395</v>
      </c>
      <c r="L3" s="60" t="s">
        <v>325</v>
      </c>
      <c r="M3" s="60" t="s">
        <v>326</v>
      </c>
      <c r="N3" s="60" t="s">
        <v>396</v>
      </c>
      <c r="O3" s="60" t="s">
        <v>397</v>
      </c>
      <c r="P3" s="60" t="s">
        <v>325</v>
      </c>
      <c r="Q3" s="60">
        <v>174103</v>
      </c>
      <c r="R3" s="60" t="s">
        <v>326</v>
      </c>
      <c r="S3" s="60" t="s">
        <v>398</v>
      </c>
      <c r="T3" s="60" t="s">
        <v>399</v>
      </c>
      <c r="U3" s="60" t="s">
        <v>400</v>
      </c>
      <c r="V3" s="60" t="s">
        <v>401</v>
      </c>
      <c r="W3" s="60"/>
    </row>
    <row r="4" spans="1:23" x14ac:dyDescent="0.2">
      <c r="A4" s="60">
        <v>6264</v>
      </c>
      <c r="B4" s="60" t="s">
        <v>402</v>
      </c>
      <c r="C4" s="60" t="s">
        <v>403</v>
      </c>
      <c r="D4" s="60" t="s">
        <v>54</v>
      </c>
      <c r="E4" s="60" t="s">
        <v>34</v>
      </c>
      <c r="F4" s="60" t="s">
        <v>71</v>
      </c>
      <c r="G4" s="60">
        <v>650</v>
      </c>
      <c r="H4" s="60" t="s">
        <v>404</v>
      </c>
      <c r="I4" s="60"/>
      <c r="J4" s="60" t="s">
        <v>57</v>
      </c>
      <c r="K4" s="60"/>
      <c r="L4" s="60" t="s">
        <v>405</v>
      </c>
      <c r="M4" s="60" t="s">
        <v>315</v>
      </c>
      <c r="N4" s="60" t="s">
        <v>406</v>
      </c>
      <c r="O4" s="60" t="s">
        <v>407</v>
      </c>
      <c r="P4" s="60" t="s">
        <v>408</v>
      </c>
      <c r="Q4" s="60">
        <v>121004</v>
      </c>
      <c r="R4" s="60" t="s">
        <v>223</v>
      </c>
      <c r="S4" s="60" t="s">
        <v>409</v>
      </c>
      <c r="T4" s="60" t="s">
        <v>410</v>
      </c>
      <c r="U4" s="60" t="s">
        <v>411</v>
      </c>
      <c r="V4" s="60" t="s">
        <v>412</v>
      </c>
      <c r="W4" s="60"/>
    </row>
    <row r="5" spans="1:23" x14ac:dyDescent="0.2">
      <c r="A5" s="60">
        <v>6265</v>
      </c>
      <c r="B5" s="60" t="s">
        <v>413</v>
      </c>
      <c r="C5" s="60" t="s">
        <v>414</v>
      </c>
      <c r="D5" s="60" t="s">
        <v>33</v>
      </c>
      <c r="E5" s="60" t="s">
        <v>34</v>
      </c>
      <c r="F5" s="60" t="s">
        <v>35</v>
      </c>
      <c r="G5" s="60">
        <v>2470</v>
      </c>
      <c r="H5" s="60" t="s">
        <v>415</v>
      </c>
      <c r="I5" s="60"/>
      <c r="J5" s="60" t="s">
        <v>57</v>
      </c>
      <c r="K5" s="60" t="s">
        <v>416</v>
      </c>
      <c r="L5" s="60" t="s">
        <v>244</v>
      </c>
      <c r="M5" s="60" t="s">
        <v>59</v>
      </c>
      <c r="N5" s="60" t="s">
        <v>417</v>
      </c>
      <c r="O5" s="60" t="s">
        <v>418</v>
      </c>
      <c r="P5" s="60" t="s">
        <v>235</v>
      </c>
      <c r="Q5" s="60">
        <v>400063</v>
      </c>
      <c r="R5" s="60" t="s">
        <v>236</v>
      </c>
      <c r="S5" s="60" t="s">
        <v>419</v>
      </c>
      <c r="T5" s="60" t="s">
        <v>420</v>
      </c>
      <c r="U5" s="60" t="s">
        <v>421</v>
      </c>
      <c r="V5" s="60" t="s">
        <v>422</v>
      </c>
      <c r="W5" s="60"/>
    </row>
    <row r="6" spans="1:23" x14ac:dyDescent="0.2">
      <c r="A6" s="60">
        <v>6266</v>
      </c>
      <c r="B6" s="60" t="s">
        <v>423</v>
      </c>
      <c r="C6" s="60" t="s">
        <v>424</v>
      </c>
      <c r="D6" s="60" t="s">
        <v>54</v>
      </c>
      <c r="E6" s="60" t="s">
        <v>34</v>
      </c>
      <c r="F6" s="60" t="s">
        <v>35</v>
      </c>
      <c r="G6" s="60">
        <v>575</v>
      </c>
      <c r="H6" s="60" t="s">
        <v>425</v>
      </c>
      <c r="I6" s="61">
        <v>46383</v>
      </c>
      <c r="J6" s="60" t="s">
        <v>37</v>
      </c>
      <c r="K6" s="60" t="s">
        <v>426</v>
      </c>
      <c r="L6" s="60" t="s">
        <v>427</v>
      </c>
      <c r="M6" s="60" t="s">
        <v>236</v>
      </c>
      <c r="N6" s="60" t="s">
        <v>428</v>
      </c>
      <c r="O6" s="60" t="s">
        <v>429</v>
      </c>
      <c r="P6" s="60" t="s">
        <v>427</v>
      </c>
      <c r="Q6" s="60">
        <v>411007</v>
      </c>
      <c r="R6" s="60" t="s">
        <v>236</v>
      </c>
      <c r="S6" s="60"/>
      <c r="T6" s="60"/>
      <c r="U6" s="60" t="s">
        <v>430</v>
      </c>
      <c r="V6" s="60" t="s">
        <v>431</v>
      </c>
      <c r="W6" s="60"/>
    </row>
    <row r="7" spans="1:23" x14ac:dyDescent="0.2">
      <c r="A7" s="60">
        <v>6267</v>
      </c>
      <c r="B7" s="60" t="s">
        <v>432</v>
      </c>
      <c r="C7" s="60" t="s">
        <v>433</v>
      </c>
      <c r="D7" s="60" t="s">
        <v>33</v>
      </c>
      <c r="E7" s="60" t="s">
        <v>34</v>
      </c>
      <c r="F7" s="60" t="s">
        <v>102</v>
      </c>
      <c r="G7" s="60">
        <v>132254</v>
      </c>
      <c r="H7" s="60" t="s">
        <v>434</v>
      </c>
      <c r="I7" s="61">
        <v>46384</v>
      </c>
      <c r="J7" s="60" t="s">
        <v>37</v>
      </c>
      <c r="K7" s="60" t="s">
        <v>435</v>
      </c>
      <c r="L7" s="60" t="s">
        <v>62</v>
      </c>
      <c r="M7" s="60" t="s">
        <v>40</v>
      </c>
      <c r="N7" s="60" t="s">
        <v>436</v>
      </c>
      <c r="O7" s="60" t="s">
        <v>437</v>
      </c>
      <c r="P7" s="60" t="s">
        <v>62</v>
      </c>
      <c r="Q7" s="60">
        <v>382110</v>
      </c>
      <c r="R7" s="60" t="s">
        <v>40</v>
      </c>
      <c r="S7" s="60" t="s">
        <v>438</v>
      </c>
      <c r="T7" s="60" t="s">
        <v>439</v>
      </c>
      <c r="U7" s="60" t="s">
        <v>440</v>
      </c>
      <c r="V7" s="60" t="s">
        <v>441</v>
      </c>
      <c r="W7" s="60"/>
    </row>
    <row r="8" spans="1:23" x14ac:dyDescent="0.2">
      <c r="A8" s="60">
        <v>6268</v>
      </c>
      <c r="B8" s="60" t="s">
        <v>442</v>
      </c>
      <c r="C8" s="60" t="s">
        <v>443</v>
      </c>
      <c r="D8" s="60" t="s">
        <v>33</v>
      </c>
      <c r="E8" s="60" t="s">
        <v>34</v>
      </c>
      <c r="F8" s="60" t="s">
        <v>130</v>
      </c>
      <c r="G8" s="60">
        <v>2500</v>
      </c>
      <c r="H8" s="60" t="s">
        <v>444</v>
      </c>
      <c r="I8" s="61">
        <v>46230</v>
      </c>
      <c r="J8" s="60" t="s">
        <v>37</v>
      </c>
      <c r="K8" s="60" t="s">
        <v>445</v>
      </c>
      <c r="L8" s="60" t="s">
        <v>446</v>
      </c>
      <c r="M8" s="60" t="s">
        <v>311</v>
      </c>
      <c r="N8" s="60" t="s">
        <v>447</v>
      </c>
      <c r="O8" s="60" t="s">
        <v>448</v>
      </c>
      <c r="P8" s="60" t="s">
        <v>449</v>
      </c>
      <c r="Q8" s="60">
        <v>110020</v>
      </c>
      <c r="R8" s="60" t="s">
        <v>450</v>
      </c>
      <c r="S8" s="60"/>
      <c r="T8" s="60" t="s">
        <v>451</v>
      </c>
      <c r="U8" s="60" t="s">
        <v>452</v>
      </c>
      <c r="V8" s="60" t="s">
        <v>453</v>
      </c>
      <c r="W8" s="60"/>
    </row>
    <row r="9" spans="1:23" x14ac:dyDescent="0.2">
      <c r="A9" s="60">
        <v>6269</v>
      </c>
      <c r="B9" s="60" t="s">
        <v>456</v>
      </c>
      <c r="C9" s="60" t="s">
        <v>457</v>
      </c>
      <c r="D9" s="60" t="s">
        <v>54</v>
      </c>
      <c r="E9" s="60" t="s">
        <v>34</v>
      </c>
      <c r="F9" s="60" t="s">
        <v>458</v>
      </c>
      <c r="G9" s="60">
        <v>51.2</v>
      </c>
      <c r="H9" s="60" t="s">
        <v>459</v>
      </c>
      <c r="I9" s="61">
        <v>46291</v>
      </c>
      <c r="J9" s="60" t="s">
        <v>37</v>
      </c>
      <c r="K9" s="60" t="s">
        <v>460</v>
      </c>
      <c r="L9" s="60" t="s">
        <v>461</v>
      </c>
      <c r="M9" s="60" t="s">
        <v>236</v>
      </c>
      <c r="N9" s="60" t="s">
        <v>462</v>
      </c>
      <c r="O9" s="60" t="s">
        <v>463</v>
      </c>
      <c r="P9" s="60" t="s">
        <v>461</v>
      </c>
      <c r="Q9" s="60">
        <v>431809</v>
      </c>
      <c r="R9" s="60" t="s">
        <v>236</v>
      </c>
      <c r="S9" s="60"/>
      <c r="T9" s="60" t="s">
        <v>464</v>
      </c>
      <c r="U9" s="60" t="s">
        <v>465</v>
      </c>
      <c r="V9" s="60"/>
      <c r="W9" s="60"/>
    </row>
    <row r="10" spans="1:23" x14ac:dyDescent="0.2">
      <c r="A10" s="60">
        <v>6270</v>
      </c>
      <c r="B10" s="60" t="s">
        <v>467</v>
      </c>
      <c r="C10" s="60" t="s">
        <v>468</v>
      </c>
      <c r="D10" s="60" t="s">
        <v>54</v>
      </c>
      <c r="E10" s="60" t="s">
        <v>86</v>
      </c>
      <c r="F10" s="60" t="s">
        <v>87</v>
      </c>
      <c r="G10" s="60">
        <v>35552.400000000001</v>
      </c>
      <c r="H10" s="60" t="s">
        <v>469</v>
      </c>
      <c r="I10" s="60"/>
      <c r="J10" s="60" t="s">
        <v>57</v>
      </c>
      <c r="K10" s="60" t="s">
        <v>470</v>
      </c>
      <c r="L10" s="60" t="s">
        <v>471</v>
      </c>
      <c r="M10" s="60" t="s">
        <v>311</v>
      </c>
      <c r="N10" s="60" t="s">
        <v>472</v>
      </c>
      <c r="O10" s="60" t="s">
        <v>473</v>
      </c>
      <c r="P10" s="60" t="s">
        <v>474</v>
      </c>
      <c r="Q10" s="60">
        <v>695024</v>
      </c>
      <c r="R10" s="60" t="s">
        <v>475</v>
      </c>
      <c r="S10" s="60" t="s">
        <v>476</v>
      </c>
      <c r="T10" s="60" t="s">
        <v>477</v>
      </c>
      <c r="U10" s="60" t="s">
        <v>478</v>
      </c>
      <c r="V10" s="60" t="s">
        <v>479</v>
      </c>
      <c r="W10" s="60"/>
    </row>
    <row r="11" spans="1:23" x14ac:dyDescent="0.2">
      <c r="A11" s="60">
        <v>6271</v>
      </c>
      <c r="B11" s="60" t="s">
        <v>467</v>
      </c>
      <c r="C11" s="60" t="s">
        <v>480</v>
      </c>
      <c r="D11" s="60" t="s">
        <v>54</v>
      </c>
      <c r="E11" s="60" t="s">
        <v>86</v>
      </c>
      <c r="F11" s="60" t="s">
        <v>87</v>
      </c>
      <c r="G11" s="60">
        <v>42014</v>
      </c>
      <c r="H11" s="60" t="s">
        <v>481</v>
      </c>
      <c r="I11" s="61">
        <v>46079</v>
      </c>
      <c r="J11" s="60" t="s">
        <v>37</v>
      </c>
      <c r="K11" s="60" t="s">
        <v>482</v>
      </c>
      <c r="L11" s="60" t="s">
        <v>483</v>
      </c>
      <c r="M11" s="60" t="s">
        <v>484</v>
      </c>
      <c r="N11" s="60" t="s">
        <v>485</v>
      </c>
      <c r="O11" s="60" t="s">
        <v>486</v>
      </c>
      <c r="P11" s="60" t="s">
        <v>487</v>
      </c>
      <c r="Q11" s="60">
        <v>834002</v>
      </c>
      <c r="R11" s="60" t="s">
        <v>268</v>
      </c>
      <c r="S11" s="60" t="s">
        <v>488</v>
      </c>
      <c r="T11" s="60" t="s">
        <v>489</v>
      </c>
      <c r="U11" s="60" t="s">
        <v>490</v>
      </c>
      <c r="V11" s="60" t="s">
        <v>491</v>
      </c>
      <c r="W11" s="60"/>
    </row>
    <row r="12" spans="1:23" x14ac:dyDescent="0.2">
      <c r="A12" s="60">
        <v>6272</v>
      </c>
      <c r="B12" s="60" t="s">
        <v>467</v>
      </c>
      <c r="C12" s="60" t="s">
        <v>493</v>
      </c>
      <c r="D12" s="60" t="s">
        <v>54</v>
      </c>
      <c r="E12" s="60" t="s">
        <v>494</v>
      </c>
      <c r="F12" s="60" t="s">
        <v>87</v>
      </c>
      <c r="G12" s="60">
        <v>26000</v>
      </c>
      <c r="H12" s="60" t="s">
        <v>495</v>
      </c>
      <c r="I12" s="61">
        <v>46199</v>
      </c>
      <c r="J12" s="60" t="s">
        <v>57</v>
      </c>
      <c r="K12" s="60"/>
      <c r="L12" s="60" t="s">
        <v>496</v>
      </c>
      <c r="M12" s="60" t="s">
        <v>326</v>
      </c>
      <c r="N12" s="60" t="s">
        <v>497</v>
      </c>
      <c r="O12" s="60" t="s">
        <v>473</v>
      </c>
      <c r="P12" s="60" t="s">
        <v>474</v>
      </c>
      <c r="Q12" s="60">
        <v>695024</v>
      </c>
      <c r="R12" s="60" t="s">
        <v>475</v>
      </c>
      <c r="S12" s="60" t="s">
        <v>476</v>
      </c>
      <c r="T12" s="60" t="s">
        <v>477</v>
      </c>
      <c r="U12" s="60" t="s">
        <v>478</v>
      </c>
      <c r="V12" s="60" t="s">
        <v>479</v>
      </c>
      <c r="W12" s="60"/>
    </row>
    <row r="13" spans="1:23" x14ac:dyDescent="0.2">
      <c r="A13" s="60">
        <v>6273</v>
      </c>
      <c r="B13" s="60" t="s">
        <v>498</v>
      </c>
      <c r="C13" s="60" t="s">
        <v>499</v>
      </c>
      <c r="D13" s="60" t="s">
        <v>54</v>
      </c>
      <c r="E13" s="60" t="s">
        <v>34</v>
      </c>
      <c r="F13" s="60" t="s">
        <v>193</v>
      </c>
      <c r="G13" s="60">
        <v>1690</v>
      </c>
      <c r="H13" s="60" t="s">
        <v>500</v>
      </c>
      <c r="I13" s="60"/>
      <c r="J13" s="60" t="s">
        <v>57</v>
      </c>
      <c r="K13" s="60" t="s">
        <v>501</v>
      </c>
      <c r="L13" s="60" t="s">
        <v>502</v>
      </c>
      <c r="M13" s="60" t="s">
        <v>75</v>
      </c>
      <c r="N13" s="60" t="s">
        <v>503</v>
      </c>
      <c r="O13" s="60" t="s">
        <v>504</v>
      </c>
      <c r="P13" s="60" t="s">
        <v>502</v>
      </c>
      <c r="Q13" s="60">
        <v>201307</v>
      </c>
      <c r="R13" s="60" t="s">
        <v>75</v>
      </c>
      <c r="S13" s="60"/>
      <c r="T13" s="60"/>
      <c r="U13" s="60" t="s">
        <v>505</v>
      </c>
      <c r="V13" s="60" t="s">
        <v>506</v>
      </c>
      <c r="W13" s="60"/>
    </row>
    <row r="14" spans="1:23" x14ac:dyDescent="0.2">
      <c r="A14" s="60">
        <v>6274</v>
      </c>
      <c r="B14" s="62" t="s">
        <v>507</v>
      </c>
      <c r="C14" s="62" t="s">
        <v>508</v>
      </c>
      <c r="D14" s="62" t="s">
        <v>54</v>
      </c>
      <c r="E14" s="62" t="s">
        <v>34</v>
      </c>
      <c r="F14" s="62" t="s">
        <v>102</v>
      </c>
      <c r="G14" s="62">
        <v>6000</v>
      </c>
      <c r="H14" s="62" t="s">
        <v>509</v>
      </c>
      <c r="I14" s="62" t="s">
        <v>510</v>
      </c>
      <c r="J14" s="62" t="s">
        <v>57</v>
      </c>
      <c r="K14" s="62" t="s">
        <v>511</v>
      </c>
      <c r="L14" s="62" t="s">
        <v>512</v>
      </c>
      <c r="M14" s="62" t="s">
        <v>182</v>
      </c>
      <c r="N14" s="62" t="s">
        <v>513</v>
      </c>
      <c r="O14" s="62" t="s">
        <v>514</v>
      </c>
      <c r="P14" s="62" t="s">
        <v>449</v>
      </c>
      <c r="Q14" s="62">
        <v>110049</v>
      </c>
      <c r="R14" s="62" t="s">
        <v>450</v>
      </c>
      <c r="S14" s="62" t="s">
        <v>515</v>
      </c>
      <c r="T14" s="62" t="s">
        <v>516</v>
      </c>
      <c r="U14" s="62" t="s">
        <v>517</v>
      </c>
      <c r="V14" s="62" t="s">
        <v>518</v>
      </c>
      <c r="W14" s="62"/>
    </row>
    <row r="15" spans="1:23" x14ac:dyDescent="0.2">
      <c r="A15" s="60">
        <v>6275</v>
      </c>
      <c r="B15" s="60" t="s">
        <v>519</v>
      </c>
      <c r="C15" s="60" t="s">
        <v>520</v>
      </c>
      <c r="D15" s="60" t="s">
        <v>54</v>
      </c>
      <c r="E15" s="60" t="s">
        <v>86</v>
      </c>
      <c r="F15" s="60" t="s">
        <v>521</v>
      </c>
      <c r="G15" s="60">
        <v>24010</v>
      </c>
      <c r="H15" s="60" t="s">
        <v>522</v>
      </c>
      <c r="I15" s="61">
        <v>46199</v>
      </c>
      <c r="J15" s="60" t="s">
        <v>37</v>
      </c>
      <c r="K15" s="60" t="s">
        <v>523</v>
      </c>
      <c r="L15" s="60" t="s">
        <v>524</v>
      </c>
      <c r="M15" s="60" t="s">
        <v>315</v>
      </c>
      <c r="N15" s="60" t="s">
        <v>525</v>
      </c>
      <c r="O15" s="60" t="s">
        <v>526</v>
      </c>
      <c r="P15" s="60" t="s">
        <v>527</v>
      </c>
      <c r="Q15" s="60">
        <v>768001</v>
      </c>
      <c r="R15" s="60" t="s">
        <v>528</v>
      </c>
      <c r="S15" s="60" t="s">
        <v>529</v>
      </c>
      <c r="T15" s="60" t="s">
        <v>530</v>
      </c>
      <c r="U15" s="60" t="s">
        <v>531</v>
      </c>
      <c r="V15" s="60" t="s">
        <v>532</v>
      </c>
      <c r="W15" s="60"/>
    </row>
    <row r="16" spans="1:23" x14ac:dyDescent="0.2">
      <c r="A16" s="60">
        <v>6276</v>
      </c>
      <c r="B16" s="60" t="s">
        <v>533</v>
      </c>
      <c r="C16" s="60" t="s">
        <v>534</v>
      </c>
      <c r="D16" s="60" t="s">
        <v>54</v>
      </c>
      <c r="E16" s="60" t="s">
        <v>86</v>
      </c>
      <c r="F16" s="60" t="s">
        <v>87</v>
      </c>
      <c r="G16" s="60">
        <v>31685.8</v>
      </c>
      <c r="H16" s="60" t="s">
        <v>535</v>
      </c>
      <c r="I16" s="61">
        <v>46293</v>
      </c>
      <c r="J16" s="60" t="s">
        <v>37</v>
      </c>
      <c r="K16" s="60" t="s">
        <v>536</v>
      </c>
      <c r="L16" s="60"/>
      <c r="M16" s="60" t="s">
        <v>537</v>
      </c>
      <c r="N16" s="60" t="s">
        <v>538</v>
      </c>
      <c r="O16" s="60" t="s">
        <v>539</v>
      </c>
      <c r="P16" s="60" t="s">
        <v>540</v>
      </c>
      <c r="Q16" s="60">
        <v>221002</v>
      </c>
      <c r="R16" s="60" t="s">
        <v>75</v>
      </c>
      <c r="S16" s="60" t="s">
        <v>541</v>
      </c>
      <c r="T16" s="60" t="s">
        <v>542</v>
      </c>
      <c r="U16" s="60" t="s">
        <v>695</v>
      </c>
      <c r="V16" s="60" t="s">
        <v>544</v>
      </c>
      <c r="W16" s="60"/>
    </row>
    <row r="17" spans="1:23" x14ac:dyDescent="0.2">
      <c r="A17" s="60">
        <v>6277</v>
      </c>
      <c r="B17" s="60" t="s">
        <v>545</v>
      </c>
      <c r="C17" s="63" t="s">
        <v>546</v>
      </c>
      <c r="D17" s="60" t="s">
        <v>54</v>
      </c>
      <c r="E17" s="60" t="s">
        <v>86</v>
      </c>
      <c r="F17" s="60" t="s">
        <v>163</v>
      </c>
      <c r="G17" s="60">
        <v>204456</v>
      </c>
      <c r="H17" s="60" t="s">
        <v>547</v>
      </c>
      <c r="I17" s="61">
        <v>46053</v>
      </c>
      <c r="J17" s="60" t="s">
        <v>37</v>
      </c>
      <c r="K17" s="60" t="s">
        <v>548</v>
      </c>
      <c r="L17" s="60" t="s">
        <v>549</v>
      </c>
      <c r="M17" s="60" t="s">
        <v>59</v>
      </c>
      <c r="N17" s="60" t="s">
        <v>550</v>
      </c>
      <c r="O17" s="60" t="s">
        <v>551</v>
      </c>
      <c r="P17" s="60" t="s">
        <v>502</v>
      </c>
      <c r="Q17" s="60">
        <v>201301</v>
      </c>
      <c r="R17" s="60" t="s">
        <v>75</v>
      </c>
      <c r="S17" s="60" t="s">
        <v>552</v>
      </c>
      <c r="T17" s="60" t="s">
        <v>553</v>
      </c>
      <c r="U17" s="60" t="s">
        <v>554</v>
      </c>
      <c r="V17" s="60" t="s">
        <v>555</v>
      </c>
      <c r="W17" s="60"/>
    </row>
    <row r="18" spans="1:23" x14ac:dyDescent="0.2">
      <c r="A18" s="60">
        <v>6278</v>
      </c>
      <c r="B18" s="62" t="s">
        <v>556</v>
      </c>
      <c r="C18" s="62" t="s">
        <v>557</v>
      </c>
      <c r="D18" s="62" t="s">
        <v>54</v>
      </c>
      <c r="E18" s="62" t="s">
        <v>34</v>
      </c>
      <c r="F18" s="62" t="s">
        <v>265</v>
      </c>
      <c r="G18" s="62">
        <v>2500</v>
      </c>
      <c r="H18" s="62" t="s">
        <v>558</v>
      </c>
      <c r="I18" s="62" t="s">
        <v>510</v>
      </c>
      <c r="J18" s="62" t="s">
        <v>57</v>
      </c>
      <c r="K18" s="62" t="s">
        <v>559</v>
      </c>
      <c r="L18" s="62" t="s">
        <v>560</v>
      </c>
      <c r="M18" s="62" t="s">
        <v>561</v>
      </c>
      <c r="N18" s="62" t="s">
        <v>562</v>
      </c>
      <c r="O18" s="62" t="s">
        <v>563</v>
      </c>
      <c r="P18" s="62" t="s">
        <v>449</v>
      </c>
      <c r="Q18" s="62">
        <v>110054</v>
      </c>
      <c r="R18" s="62" t="s">
        <v>450</v>
      </c>
      <c r="S18" s="62" t="s">
        <v>564</v>
      </c>
      <c r="T18" s="62" t="s">
        <v>565</v>
      </c>
      <c r="U18" s="62" t="s">
        <v>566</v>
      </c>
      <c r="V18" s="62" t="s">
        <v>567</v>
      </c>
      <c r="W18" s="62"/>
    </row>
    <row r="19" spans="1:23" x14ac:dyDescent="0.2">
      <c r="A19" s="60">
        <v>6279</v>
      </c>
      <c r="B19" s="60" t="s">
        <v>569</v>
      </c>
      <c r="C19" s="60" t="s">
        <v>570</v>
      </c>
      <c r="D19" s="60" t="s">
        <v>54</v>
      </c>
      <c r="E19" s="60" t="s">
        <v>34</v>
      </c>
      <c r="F19" s="60" t="s">
        <v>193</v>
      </c>
      <c r="G19" s="60">
        <v>6500</v>
      </c>
      <c r="H19" s="60" t="s">
        <v>571</v>
      </c>
      <c r="I19" s="60"/>
      <c r="J19" s="60" t="s">
        <v>57</v>
      </c>
      <c r="K19" s="60" t="s">
        <v>181</v>
      </c>
      <c r="L19" s="60" t="s">
        <v>181</v>
      </c>
      <c r="M19" s="60" t="s">
        <v>182</v>
      </c>
      <c r="N19" s="60" t="s">
        <v>572</v>
      </c>
      <c r="O19" s="60" t="s">
        <v>573</v>
      </c>
      <c r="P19" s="60" t="s">
        <v>181</v>
      </c>
      <c r="Q19" s="60">
        <v>641401</v>
      </c>
      <c r="R19" s="60" t="s">
        <v>182</v>
      </c>
      <c r="S19" s="60" t="s">
        <v>574</v>
      </c>
      <c r="T19" s="60" t="s">
        <v>575</v>
      </c>
      <c r="U19" s="60" t="s">
        <v>576</v>
      </c>
      <c r="V19" s="60" t="s">
        <v>577</v>
      </c>
      <c r="W19" s="60"/>
    </row>
    <row r="20" spans="1:23" x14ac:dyDescent="0.2">
      <c r="A20" s="60">
        <v>6280</v>
      </c>
      <c r="B20" s="60" t="s">
        <v>578</v>
      </c>
      <c r="C20" s="60" t="s">
        <v>579</v>
      </c>
      <c r="D20" s="60" t="s">
        <v>33</v>
      </c>
      <c r="E20" s="60" t="s">
        <v>34</v>
      </c>
      <c r="F20" s="60" t="s">
        <v>265</v>
      </c>
      <c r="G20" s="60">
        <v>1360.57</v>
      </c>
      <c r="H20" s="60" t="s">
        <v>580</v>
      </c>
      <c r="I20" s="61">
        <v>46138</v>
      </c>
      <c r="J20" s="60" t="s">
        <v>37</v>
      </c>
      <c r="K20" s="60" t="s">
        <v>581</v>
      </c>
      <c r="L20" s="60" t="s">
        <v>540</v>
      </c>
      <c r="M20" s="60" t="s">
        <v>75</v>
      </c>
      <c r="N20" s="60" t="s">
        <v>582</v>
      </c>
      <c r="O20" s="60" t="s">
        <v>583</v>
      </c>
      <c r="P20" s="60" t="s">
        <v>540</v>
      </c>
      <c r="Q20" s="60">
        <v>221008</v>
      </c>
      <c r="R20" s="60" t="s">
        <v>75</v>
      </c>
      <c r="S20" s="60" t="s">
        <v>584</v>
      </c>
      <c r="T20" s="60" t="s">
        <v>585</v>
      </c>
      <c r="U20" s="60" t="s">
        <v>586</v>
      </c>
      <c r="V20" s="60" t="s">
        <v>587</v>
      </c>
      <c r="W20" s="60"/>
    </row>
    <row r="21" spans="1:23" x14ac:dyDescent="0.2">
      <c r="A21" s="60">
        <v>6281</v>
      </c>
      <c r="B21" s="60" t="s">
        <v>588</v>
      </c>
      <c r="C21" s="63" t="s">
        <v>589</v>
      </c>
      <c r="D21" s="60" t="s">
        <v>33</v>
      </c>
      <c r="E21" s="60" t="s">
        <v>34</v>
      </c>
      <c r="F21" s="60" t="s">
        <v>87</v>
      </c>
      <c r="G21" s="60">
        <v>35580</v>
      </c>
      <c r="H21" s="60" t="s">
        <v>590</v>
      </c>
      <c r="I21" s="61">
        <v>46385</v>
      </c>
      <c r="J21" s="60" t="s">
        <v>37</v>
      </c>
      <c r="K21" s="60" t="s">
        <v>591</v>
      </c>
      <c r="L21" s="60" t="s">
        <v>254</v>
      </c>
      <c r="M21" s="60" t="s">
        <v>40</v>
      </c>
      <c r="N21" s="60" t="s">
        <v>592</v>
      </c>
      <c r="O21" s="60" t="s">
        <v>593</v>
      </c>
      <c r="P21" s="60" t="s">
        <v>62</v>
      </c>
      <c r="Q21" s="60">
        <v>382421</v>
      </c>
      <c r="R21" s="60" t="s">
        <v>40</v>
      </c>
      <c r="S21" s="60" t="s">
        <v>594</v>
      </c>
      <c r="T21" s="60" t="s">
        <v>595</v>
      </c>
      <c r="U21" s="60" t="s">
        <v>596</v>
      </c>
      <c r="V21" s="60" t="s">
        <v>696</v>
      </c>
      <c r="W21" s="60"/>
    </row>
    <row r="22" spans="1:23" x14ac:dyDescent="0.2">
      <c r="A22" s="60">
        <v>6282</v>
      </c>
      <c r="B22" s="60" t="s">
        <v>597</v>
      </c>
      <c r="C22" s="60" t="s">
        <v>598</v>
      </c>
      <c r="D22" s="60" t="s">
        <v>33</v>
      </c>
      <c r="E22" s="60" t="s">
        <v>34</v>
      </c>
      <c r="F22" s="60" t="s">
        <v>35</v>
      </c>
      <c r="G22" s="60">
        <v>197</v>
      </c>
      <c r="H22" s="60" t="s">
        <v>599</v>
      </c>
      <c r="I22" s="60"/>
      <c r="J22" s="60" t="s">
        <v>37</v>
      </c>
      <c r="K22" s="60" t="s">
        <v>600</v>
      </c>
      <c r="L22" s="60" t="s">
        <v>350</v>
      </c>
      <c r="M22" s="60" t="s">
        <v>40</v>
      </c>
      <c r="N22" s="60" t="s">
        <v>601</v>
      </c>
      <c r="O22" s="60" t="s">
        <v>602</v>
      </c>
      <c r="P22" s="60" t="s">
        <v>235</v>
      </c>
      <c r="Q22" s="60">
        <v>400056</v>
      </c>
      <c r="R22" s="60" t="s">
        <v>236</v>
      </c>
      <c r="S22" s="60" t="s">
        <v>603</v>
      </c>
      <c r="T22" s="60" t="s">
        <v>604</v>
      </c>
      <c r="U22" s="60" t="s">
        <v>605</v>
      </c>
      <c r="V22" s="60"/>
      <c r="W22" s="60"/>
    </row>
    <row r="23" spans="1:23" x14ac:dyDescent="0.2">
      <c r="A23" s="60">
        <v>6283</v>
      </c>
      <c r="B23" s="60" t="s">
        <v>606</v>
      </c>
      <c r="C23" s="60" t="s">
        <v>607</v>
      </c>
      <c r="D23" s="60" t="s">
        <v>33</v>
      </c>
      <c r="E23" s="60" t="s">
        <v>34</v>
      </c>
      <c r="F23" s="60" t="s">
        <v>102</v>
      </c>
      <c r="G23" s="60">
        <v>400</v>
      </c>
      <c r="H23" s="60" t="s">
        <v>608</v>
      </c>
      <c r="I23" s="60"/>
      <c r="J23" s="60" t="s">
        <v>57</v>
      </c>
      <c r="K23" s="60" t="s">
        <v>181</v>
      </c>
      <c r="L23" s="60" t="s">
        <v>181</v>
      </c>
      <c r="M23" s="60" t="s">
        <v>182</v>
      </c>
      <c r="N23" s="60" t="s">
        <v>609</v>
      </c>
      <c r="O23" s="60" t="s">
        <v>610</v>
      </c>
      <c r="P23" s="60" t="s">
        <v>181</v>
      </c>
      <c r="Q23" s="60">
        <v>641103</v>
      </c>
      <c r="R23" s="60" t="s">
        <v>182</v>
      </c>
      <c r="S23" s="60" t="s">
        <v>611</v>
      </c>
      <c r="T23" s="60" t="s">
        <v>612</v>
      </c>
      <c r="U23" s="60" t="s">
        <v>613</v>
      </c>
      <c r="V23" s="60"/>
      <c r="W23" s="60"/>
    </row>
    <row r="24" spans="1:23" x14ac:dyDescent="0.2">
      <c r="A24" s="60">
        <v>6284</v>
      </c>
      <c r="B24" s="60" t="s">
        <v>614</v>
      </c>
      <c r="C24" s="60" t="s">
        <v>615</v>
      </c>
      <c r="D24" s="60" t="s">
        <v>54</v>
      </c>
      <c r="E24" s="60" t="s">
        <v>34</v>
      </c>
      <c r="F24" s="60" t="s">
        <v>87</v>
      </c>
      <c r="G24" s="60">
        <v>1700</v>
      </c>
      <c r="H24" s="60" t="s">
        <v>616</v>
      </c>
      <c r="I24" s="61">
        <v>46110</v>
      </c>
      <c r="J24" s="60" t="s">
        <v>37</v>
      </c>
      <c r="K24" s="60" t="s">
        <v>617</v>
      </c>
      <c r="L24" s="60" t="s">
        <v>618</v>
      </c>
      <c r="M24" s="60" t="s">
        <v>91</v>
      </c>
      <c r="N24" s="60" t="s">
        <v>619</v>
      </c>
      <c r="O24" s="60" t="s">
        <v>620</v>
      </c>
      <c r="P24" s="60" t="s">
        <v>621</v>
      </c>
      <c r="Q24" s="60">
        <v>122001</v>
      </c>
      <c r="R24" s="60" t="s">
        <v>223</v>
      </c>
      <c r="S24" s="60"/>
      <c r="T24" s="60"/>
      <c r="U24" s="60" t="s">
        <v>622</v>
      </c>
      <c r="V24" s="60" t="s">
        <v>623</v>
      </c>
      <c r="W24" s="60"/>
    </row>
    <row r="25" spans="1:23" x14ac:dyDescent="0.2">
      <c r="A25" s="60">
        <v>6285</v>
      </c>
      <c r="B25" s="60" t="s">
        <v>624</v>
      </c>
      <c r="C25" s="60" t="s">
        <v>625</v>
      </c>
      <c r="D25" s="60" t="s">
        <v>54</v>
      </c>
      <c r="E25" s="60" t="s">
        <v>34</v>
      </c>
      <c r="F25" s="60" t="s">
        <v>102</v>
      </c>
      <c r="G25" s="60">
        <v>1960</v>
      </c>
      <c r="H25" s="60" t="s">
        <v>626</v>
      </c>
      <c r="I25" s="60"/>
      <c r="J25" s="60" t="s">
        <v>57</v>
      </c>
      <c r="K25" s="60" t="s">
        <v>627</v>
      </c>
      <c r="L25" s="60" t="s">
        <v>628</v>
      </c>
      <c r="M25" s="60" t="s">
        <v>182</v>
      </c>
      <c r="N25" s="60" t="s">
        <v>629</v>
      </c>
      <c r="O25" s="60" t="s">
        <v>630</v>
      </c>
      <c r="P25" s="60" t="s">
        <v>631</v>
      </c>
      <c r="Q25" s="60">
        <v>502329</v>
      </c>
      <c r="R25" s="60" t="s">
        <v>169</v>
      </c>
      <c r="S25" s="60" t="s">
        <v>632</v>
      </c>
      <c r="T25" s="60" t="s">
        <v>633</v>
      </c>
      <c r="U25" s="60" t="s">
        <v>634</v>
      </c>
      <c r="V25" s="60" t="s">
        <v>635</v>
      </c>
      <c r="W25" s="60"/>
    </row>
    <row r="26" spans="1:23" x14ac:dyDescent="0.2">
      <c r="A26" s="60">
        <v>6286</v>
      </c>
      <c r="B26" s="60" t="s">
        <v>636</v>
      </c>
      <c r="C26" s="63" t="s">
        <v>637</v>
      </c>
      <c r="D26" s="60" t="s">
        <v>54</v>
      </c>
      <c r="E26" s="60" t="s">
        <v>638</v>
      </c>
      <c r="F26" s="60" t="s">
        <v>87</v>
      </c>
      <c r="G26" s="60">
        <v>5553.7</v>
      </c>
      <c r="H26" s="60" t="s">
        <v>639</v>
      </c>
      <c r="I26" s="61">
        <v>46170</v>
      </c>
      <c r="J26" s="60" t="s">
        <v>37</v>
      </c>
      <c r="K26" s="60" t="s">
        <v>640</v>
      </c>
      <c r="L26" s="60" t="s">
        <v>641</v>
      </c>
      <c r="M26" s="60" t="s">
        <v>182</v>
      </c>
      <c r="N26" s="60" t="s">
        <v>642</v>
      </c>
      <c r="O26" s="60" t="s">
        <v>643</v>
      </c>
      <c r="P26" s="60" t="s">
        <v>644</v>
      </c>
      <c r="Q26" s="60">
        <v>600008</v>
      </c>
      <c r="R26" s="60" t="s">
        <v>182</v>
      </c>
      <c r="S26" s="60" t="s">
        <v>645</v>
      </c>
      <c r="T26" s="60" t="s">
        <v>646</v>
      </c>
      <c r="U26" s="60" t="s">
        <v>647</v>
      </c>
      <c r="V26" s="60" t="s">
        <v>648</v>
      </c>
      <c r="W26" s="60"/>
    </row>
    <row r="27" spans="1:23" x14ac:dyDescent="0.2">
      <c r="A27" s="60">
        <v>6287</v>
      </c>
      <c r="B27" s="60" t="s">
        <v>649</v>
      </c>
      <c r="C27" s="60" t="s">
        <v>650</v>
      </c>
      <c r="D27" s="60" t="s">
        <v>54</v>
      </c>
      <c r="E27" s="60" t="s">
        <v>34</v>
      </c>
      <c r="F27" s="60" t="s">
        <v>163</v>
      </c>
      <c r="G27" s="60">
        <v>55254.3</v>
      </c>
      <c r="H27" s="60" t="s">
        <v>651</v>
      </c>
      <c r="I27" s="60"/>
      <c r="J27" s="60" t="s">
        <v>37</v>
      </c>
      <c r="K27" s="60" t="s">
        <v>652</v>
      </c>
      <c r="L27" s="60" t="s">
        <v>653</v>
      </c>
      <c r="M27" s="60" t="s">
        <v>134</v>
      </c>
      <c r="N27" s="60" t="s">
        <v>654</v>
      </c>
      <c r="O27" s="60" t="s">
        <v>655</v>
      </c>
      <c r="P27" s="60" t="s">
        <v>235</v>
      </c>
      <c r="Q27" s="60">
        <v>400072</v>
      </c>
      <c r="R27" s="60" t="s">
        <v>236</v>
      </c>
      <c r="S27" s="60" t="s">
        <v>656</v>
      </c>
      <c r="T27" s="60" t="s">
        <v>657</v>
      </c>
      <c r="U27" s="60" t="s">
        <v>658</v>
      </c>
      <c r="V27" s="60" t="s">
        <v>659</v>
      </c>
      <c r="W27" s="60"/>
    </row>
    <row r="28" spans="1:23" x14ac:dyDescent="0.2">
      <c r="A28" s="60">
        <v>6288</v>
      </c>
      <c r="B28" s="60" t="s">
        <v>663</v>
      </c>
      <c r="C28" s="60" t="s">
        <v>664</v>
      </c>
      <c r="D28" s="60" t="s">
        <v>54</v>
      </c>
      <c r="E28" s="60" t="s">
        <v>34</v>
      </c>
      <c r="F28" s="60" t="s">
        <v>71</v>
      </c>
      <c r="G28" s="60">
        <v>12500</v>
      </c>
      <c r="H28" s="60" t="s">
        <v>665</v>
      </c>
      <c r="I28" s="60"/>
      <c r="J28" s="60" t="s">
        <v>57</v>
      </c>
      <c r="K28" s="60" t="s">
        <v>666</v>
      </c>
      <c r="L28" s="60" t="s">
        <v>374</v>
      </c>
      <c r="M28" s="60" t="s">
        <v>59</v>
      </c>
      <c r="N28" s="60" t="s">
        <v>667</v>
      </c>
      <c r="O28" s="60" t="s">
        <v>668</v>
      </c>
      <c r="P28" s="60" t="s">
        <v>118</v>
      </c>
      <c r="Q28" s="60">
        <v>454774</v>
      </c>
      <c r="R28" s="60" t="s">
        <v>75</v>
      </c>
      <c r="S28" s="60" t="s">
        <v>669</v>
      </c>
      <c r="T28" s="60" t="s">
        <v>670</v>
      </c>
      <c r="U28" s="60" t="s">
        <v>671</v>
      </c>
      <c r="V28" s="60" t="s">
        <v>672</v>
      </c>
      <c r="W28" s="60"/>
    </row>
    <row r="29" spans="1:23" x14ac:dyDescent="0.2">
      <c r="A29" s="60">
        <v>6289</v>
      </c>
      <c r="B29" s="60" t="s">
        <v>673</v>
      </c>
      <c r="C29" s="60" t="s">
        <v>674</v>
      </c>
      <c r="D29" s="60" t="s">
        <v>33</v>
      </c>
      <c r="E29" s="60" t="s">
        <v>34</v>
      </c>
      <c r="F29" s="60" t="s">
        <v>35</v>
      </c>
      <c r="G29" s="60">
        <v>100</v>
      </c>
      <c r="H29" s="60" t="s">
        <v>675</v>
      </c>
      <c r="I29" s="61">
        <v>46108</v>
      </c>
      <c r="J29" s="60" t="s">
        <v>37</v>
      </c>
      <c r="K29" s="60" t="s">
        <v>676</v>
      </c>
      <c r="L29" s="60" t="s">
        <v>350</v>
      </c>
      <c r="M29" s="60" t="s">
        <v>40</v>
      </c>
      <c r="N29" s="60" t="s">
        <v>677</v>
      </c>
      <c r="O29" s="60" t="s">
        <v>678</v>
      </c>
      <c r="P29" s="60" t="s">
        <v>350</v>
      </c>
      <c r="Q29" s="60">
        <v>394116</v>
      </c>
      <c r="R29" s="60" t="s">
        <v>40</v>
      </c>
      <c r="S29" s="60" t="s">
        <v>679</v>
      </c>
      <c r="T29" s="60" t="s">
        <v>680</v>
      </c>
      <c r="U29" s="60" t="s">
        <v>681</v>
      </c>
      <c r="V29" s="60" t="s">
        <v>682</v>
      </c>
      <c r="W29" s="60"/>
    </row>
    <row r="30" spans="1:23" x14ac:dyDescent="0.2">
      <c r="A30" s="60">
        <v>6290</v>
      </c>
      <c r="B30" s="60" t="s">
        <v>684</v>
      </c>
      <c r="C30" s="63" t="s">
        <v>685</v>
      </c>
      <c r="D30" s="60" t="s">
        <v>54</v>
      </c>
      <c r="E30" s="60" t="s">
        <v>34</v>
      </c>
      <c r="F30" s="60" t="s">
        <v>102</v>
      </c>
      <c r="G30" s="60">
        <v>12601.4</v>
      </c>
      <c r="H30" s="60" t="s">
        <v>686</v>
      </c>
      <c r="I30" s="61">
        <v>46049</v>
      </c>
      <c r="J30" s="60" t="s">
        <v>37</v>
      </c>
      <c r="K30" s="60" t="s">
        <v>687</v>
      </c>
      <c r="L30" s="60" t="s">
        <v>688</v>
      </c>
      <c r="M30" s="60" t="s">
        <v>182</v>
      </c>
      <c r="N30" s="60" t="s">
        <v>689</v>
      </c>
      <c r="O30" s="60" t="s">
        <v>690</v>
      </c>
      <c r="P30" s="60" t="s">
        <v>271</v>
      </c>
      <c r="Q30" s="60">
        <v>700107</v>
      </c>
      <c r="R30" s="60" t="s">
        <v>138</v>
      </c>
      <c r="S30" s="60" t="s">
        <v>691</v>
      </c>
      <c r="T30" s="60" t="s">
        <v>692</v>
      </c>
      <c r="U30" s="60" t="s">
        <v>693</v>
      </c>
      <c r="V30" s="60" t="s">
        <v>694</v>
      </c>
      <c r="W30" s="6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CF72B-BFF0-43DA-9CFF-76B43D957FF2}">
  <dimension ref="A2:H155"/>
  <sheetViews>
    <sheetView zoomScale="85" zoomScaleNormal="85" workbookViewId="0">
      <selection activeCell="B3" sqref="B3"/>
    </sheetView>
  </sheetViews>
  <sheetFormatPr baseColWidth="10" defaultColWidth="8.83203125" defaultRowHeight="15" x14ac:dyDescent="0.2"/>
  <cols>
    <col min="1" max="1" width="26.5" bestFit="1" customWidth="1"/>
    <col min="2" max="2" width="37.6640625" bestFit="1" customWidth="1"/>
    <col min="3" max="3" width="39.1640625" bestFit="1" customWidth="1"/>
    <col min="4" max="4" width="14.33203125" bestFit="1" customWidth="1"/>
    <col min="5" max="5" width="15.33203125" bestFit="1" customWidth="1"/>
    <col min="6" max="6" width="11.33203125" bestFit="1" customWidth="1"/>
    <col min="7" max="7" width="19" bestFit="1" customWidth="1"/>
    <col min="8" max="8" width="15.6640625" style="5" bestFit="1" customWidth="1"/>
    <col min="14" max="14" width="25.5" bestFit="1" customWidth="1"/>
    <col min="15" max="15" width="12.5" bestFit="1" customWidth="1"/>
    <col min="16" max="16" width="15" bestFit="1" customWidth="1"/>
    <col min="17" max="17" width="19.6640625" bestFit="1" customWidth="1"/>
    <col min="18" max="18" width="12.5" bestFit="1" customWidth="1"/>
    <col min="19" max="19" width="23.33203125" bestFit="1" customWidth="1"/>
    <col min="20" max="20" width="23.1640625" bestFit="1" customWidth="1"/>
    <col min="21" max="21" width="26" bestFit="1" customWidth="1"/>
    <col min="22" max="22" width="14.83203125" bestFit="1" customWidth="1"/>
    <col min="23" max="23" width="16.33203125" bestFit="1" customWidth="1"/>
    <col min="24" max="24" width="25.83203125" bestFit="1" customWidth="1"/>
    <col min="25" max="25" width="12.5" bestFit="1" customWidth="1"/>
    <col min="26" max="26" width="14.33203125" bestFit="1" customWidth="1"/>
    <col min="27" max="27" width="20.33203125" bestFit="1" customWidth="1"/>
    <col min="28" max="28" width="22.5" bestFit="1" customWidth="1"/>
    <col min="29" max="29" width="13.33203125" bestFit="1" customWidth="1"/>
    <col min="30" max="30" width="31.5" bestFit="1" customWidth="1"/>
    <col min="31" max="31" width="41.6640625" bestFit="1" customWidth="1"/>
    <col min="32" max="32" width="30.5" bestFit="1" customWidth="1"/>
    <col min="33" max="33" width="37.83203125" bestFit="1" customWidth="1"/>
    <col min="34" max="34" width="9.83203125" bestFit="1" customWidth="1"/>
    <col min="35" max="35" width="8.33203125" bestFit="1" customWidth="1"/>
    <col min="36" max="36" width="38" bestFit="1" customWidth="1"/>
    <col min="37" max="37" width="7.33203125" bestFit="1" customWidth="1"/>
    <col min="38" max="38" width="16.33203125" bestFit="1" customWidth="1"/>
    <col min="39" max="39" width="15.5" bestFit="1" customWidth="1"/>
    <col min="40" max="40" width="41.6640625" bestFit="1" customWidth="1"/>
    <col min="41" max="41" width="21" bestFit="1" customWidth="1"/>
    <col min="42" max="42" width="24.5" bestFit="1" customWidth="1"/>
    <col min="43" max="43" width="24.1640625" bestFit="1" customWidth="1"/>
    <col min="44" max="44" width="24.5" bestFit="1" customWidth="1"/>
    <col min="45" max="45" width="34.6640625" bestFit="1" customWidth="1"/>
    <col min="46" max="46" width="51.1640625" bestFit="1" customWidth="1"/>
    <col min="47" max="47" width="32.5" bestFit="1" customWidth="1"/>
    <col min="48" max="48" width="12.5" bestFit="1" customWidth="1"/>
  </cols>
  <sheetData>
    <row r="2" spans="1:8" x14ac:dyDescent="0.2">
      <c r="A2" s="6" t="s">
        <v>697</v>
      </c>
      <c r="B2" s="6" t="s">
        <v>698</v>
      </c>
      <c r="C2" s="6" t="s">
        <v>699</v>
      </c>
      <c r="D2" s="6" t="s">
        <v>700</v>
      </c>
      <c r="E2" s="6" t="s">
        <v>701</v>
      </c>
      <c r="F2" s="6" t="s">
        <v>702</v>
      </c>
      <c r="G2" s="6" t="s">
        <v>703</v>
      </c>
      <c r="H2" s="7" t="s">
        <v>704</v>
      </c>
    </row>
    <row r="3" spans="1:8" x14ac:dyDescent="0.2">
      <c r="A3" s="8" t="s">
        <v>705</v>
      </c>
      <c r="B3" s="8" t="s">
        <v>706</v>
      </c>
      <c r="C3" s="8" t="s">
        <v>707</v>
      </c>
      <c r="D3" s="8" t="s">
        <v>708</v>
      </c>
      <c r="E3" s="8" t="s">
        <v>709</v>
      </c>
      <c r="F3" s="8" t="s">
        <v>710</v>
      </c>
      <c r="G3" s="8" t="s">
        <v>711</v>
      </c>
      <c r="H3" s="9">
        <v>3029100</v>
      </c>
    </row>
    <row r="4" spans="1:8" x14ac:dyDescent="0.2">
      <c r="A4" s="8" t="s">
        <v>705</v>
      </c>
      <c r="B4" s="8" t="s">
        <v>712</v>
      </c>
      <c r="C4" s="8" t="s">
        <v>707</v>
      </c>
      <c r="D4" s="8" t="s">
        <v>708</v>
      </c>
      <c r="E4" s="8" t="s">
        <v>713</v>
      </c>
      <c r="F4" s="8" t="s">
        <v>714</v>
      </c>
      <c r="G4" s="8" t="s">
        <v>715</v>
      </c>
      <c r="H4" s="9">
        <v>3029100</v>
      </c>
    </row>
    <row r="5" spans="1:8" x14ac:dyDescent="0.2">
      <c r="A5" s="8" t="s">
        <v>716</v>
      </c>
      <c r="B5" s="8" t="s">
        <v>717</v>
      </c>
      <c r="C5" s="8" t="s">
        <v>718</v>
      </c>
      <c r="D5" s="8" t="s">
        <v>719</v>
      </c>
      <c r="E5" s="8" t="s">
        <v>720</v>
      </c>
      <c r="F5" s="8" t="s">
        <v>714</v>
      </c>
      <c r="G5" s="8" t="s">
        <v>721</v>
      </c>
      <c r="H5" s="9">
        <v>4194890.84</v>
      </c>
    </row>
    <row r="6" spans="1:8" x14ac:dyDescent="0.2">
      <c r="A6" s="8" t="s">
        <v>716</v>
      </c>
      <c r="B6" s="8" t="s">
        <v>717</v>
      </c>
      <c r="C6" s="8" t="s">
        <v>722</v>
      </c>
      <c r="D6" s="8" t="s">
        <v>719</v>
      </c>
      <c r="E6" s="8" t="s">
        <v>720</v>
      </c>
      <c r="F6" s="8" t="s">
        <v>714</v>
      </c>
      <c r="G6" s="8" t="s">
        <v>721</v>
      </c>
      <c r="H6" s="9">
        <v>1872208.2200000002</v>
      </c>
    </row>
    <row r="7" spans="1:8" x14ac:dyDescent="0.2">
      <c r="A7" s="8" t="s">
        <v>723</v>
      </c>
      <c r="B7" s="8" t="s">
        <v>724</v>
      </c>
      <c r="C7" s="8" t="s">
        <v>725</v>
      </c>
      <c r="D7" s="8" t="s">
        <v>726</v>
      </c>
      <c r="E7" s="8" t="s">
        <v>727</v>
      </c>
      <c r="F7" s="8" t="s">
        <v>714</v>
      </c>
      <c r="G7" s="8" t="s">
        <v>721</v>
      </c>
      <c r="H7" s="9">
        <v>2116650.56</v>
      </c>
    </row>
    <row r="8" spans="1:8" x14ac:dyDescent="0.2">
      <c r="A8" s="8" t="s">
        <v>728</v>
      </c>
      <c r="B8" s="8" t="s">
        <v>729</v>
      </c>
      <c r="C8" s="8" t="s">
        <v>730</v>
      </c>
      <c r="D8" s="8" t="s">
        <v>731</v>
      </c>
      <c r="E8" s="8" t="s">
        <v>732</v>
      </c>
      <c r="F8" s="8" t="s">
        <v>714</v>
      </c>
      <c r="G8" s="8" t="s">
        <v>733</v>
      </c>
      <c r="H8" s="9">
        <v>5216570.13</v>
      </c>
    </row>
    <row r="9" spans="1:8" x14ac:dyDescent="0.2">
      <c r="A9" s="8" t="s">
        <v>728</v>
      </c>
      <c r="B9" s="8" t="s">
        <v>729</v>
      </c>
      <c r="C9" s="8" t="s">
        <v>730</v>
      </c>
      <c r="D9" s="8" t="s">
        <v>734</v>
      </c>
      <c r="E9" s="8" t="s">
        <v>732</v>
      </c>
      <c r="F9" s="8" t="s">
        <v>714</v>
      </c>
      <c r="G9" s="8" t="s">
        <v>733</v>
      </c>
      <c r="H9" s="9">
        <v>8447288.1400000006</v>
      </c>
    </row>
    <row r="10" spans="1:8" x14ac:dyDescent="0.2">
      <c r="A10" s="8" t="s">
        <v>735</v>
      </c>
      <c r="B10" s="8" t="s">
        <v>736</v>
      </c>
      <c r="C10" s="8" t="s">
        <v>737</v>
      </c>
      <c r="D10" s="8" t="s">
        <v>738</v>
      </c>
      <c r="E10" s="8" t="s">
        <v>739</v>
      </c>
      <c r="F10" s="8" t="s">
        <v>714</v>
      </c>
      <c r="G10" s="8" t="s">
        <v>740</v>
      </c>
      <c r="H10" s="9">
        <v>2716019.3099999996</v>
      </c>
    </row>
    <row r="11" spans="1:8" x14ac:dyDescent="0.2">
      <c r="A11" s="8" t="s">
        <v>735</v>
      </c>
      <c r="B11" s="8" t="s">
        <v>736</v>
      </c>
      <c r="C11" s="8" t="s">
        <v>741</v>
      </c>
      <c r="D11" s="8" t="s">
        <v>738</v>
      </c>
      <c r="E11" s="8" t="s">
        <v>739</v>
      </c>
      <c r="F11" s="8" t="s">
        <v>714</v>
      </c>
      <c r="G11" s="8" t="s">
        <v>740</v>
      </c>
      <c r="H11" s="9">
        <v>743250</v>
      </c>
    </row>
    <row r="12" spans="1:8" x14ac:dyDescent="0.2">
      <c r="A12" s="8" t="s">
        <v>742</v>
      </c>
      <c r="B12" s="8" t="s">
        <v>743</v>
      </c>
      <c r="C12" s="8" t="s">
        <v>744</v>
      </c>
      <c r="D12" s="8" t="s">
        <v>745</v>
      </c>
      <c r="E12" s="8" t="s">
        <v>746</v>
      </c>
      <c r="F12" s="8" t="s">
        <v>710</v>
      </c>
      <c r="G12" s="8" t="s">
        <v>747</v>
      </c>
      <c r="H12" s="9">
        <v>91168</v>
      </c>
    </row>
    <row r="13" spans="1:8" x14ac:dyDescent="0.2">
      <c r="A13" s="8" t="s">
        <v>742</v>
      </c>
      <c r="B13" s="8" t="s">
        <v>748</v>
      </c>
      <c r="C13" s="8" t="s">
        <v>749</v>
      </c>
      <c r="D13" s="8" t="s">
        <v>750</v>
      </c>
      <c r="E13" s="8" t="s">
        <v>751</v>
      </c>
      <c r="F13" s="8" t="s">
        <v>714</v>
      </c>
      <c r="G13" s="8" t="s">
        <v>721</v>
      </c>
      <c r="H13" s="9">
        <v>409027.63000000006</v>
      </c>
    </row>
    <row r="14" spans="1:8" x14ac:dyDescent="0.2">
      <c r="A14" s="8" t="s">
        <v>742</v>
      </c>
      <c r="B14" s="8" t="s">
        <v>752</v>
      </c>
      <c r="C14" s="8" t="s">
        <v>753</v>
      </c>
      <c r="D14" s="8" t="s">
        <v>754</v>
      </c>
      <c r="E14" s="8" t="s">
        <v>755</v>
      </c>
      <c r="F14" s="8" t="s">
        <v>710</v>
      </c>
      <c r="G14" s="8" t="s">
        <v>747</v>
      </c>
      <c r="H14" s="9">
        <v>141195.28</v>
      </c>
    </row>
    <row r="15" spans="1:8" x14ac:dyDescent="0.2">
      <c r="A15" s="8" t="s">
        <v>756</v>
      </c>
      <c r="B15" s="8" t="s">
        <v>757</v>
      </c>
      <c r="C15" s="8" t="s">
        <v>758</v>
      </c>
      <c r="D15" s="8" t="s">
        <v>759</v>
      </c>
      <c r="E15" s="8" t="s">
        <v>760</v>
      </c>
      <c r="F15" s="8" t="s">
        <v>714</v>
      </c>
      <c r="G15" s="8" t="s">
        <v>761</v>
      </c>
      <c r="H15" s="9">
        <v>336924.66</v>
      </c>
    </row>
    <row r="16" spans="1:8" x14ac:dyDescent="0.2">
      <c r="A16" s="8" t="s">
        <v>756</v>
      </c>
      <c r="B16" s="8" t="s">
        <v>762</v>
      </c>
      <c r="C16" s="8" t="s">
        <v>763</v>
      </c>
      <c r="D16" s="8" t="s">
        <v>708</v>
      </c>
      <c r="E16" s="8" t="s">
        <v>764</v>
      </c>
      <c r="F16" s="8" t="s">
        <v>714</v>
      </c>
      <c r="G16" s="8" t="s">
        <v>765</v>
      </c>
      <c r="H16" s="9">
        <v>1037168</v>
      </c>
    </row>
    <row r="17" spans="1:8" x14ac:dyDescent="0.2">
      <c r="A17" s="8" t="s">
        <v>756</v>
      </c>
      <c r="B17" s="8" t="s">
        <v>762</v>
      </c>
      <c r="C17" s="8" t="s">
        <v>766</v>
      </c>
      <c r="D17" s="8" t="s">
        <v>708</v>
      </c>
      <c r="E17" s="8" t="s">
        <v>764</v>
      </c>
      <c r="F17" s="8" t="s">
        <v>714</v>
      </c>
      <c r="G17" s="8" t="s">
        <v>765</v>
      </c>
      <c r="H17" s="9">
        <v>4910206.4000000004</v>
      </c>
    </row>
    <row r="18" spans="1:8" x14ac:dyDescent="0.2">
      <c r="A18" s="8" t="s">
        <v>756</v>
      </c>
      <c r="B18" s="8" t="s">
        <v>767</v>
      </c>
      <c r="C18" s="8" t="s">
        <v>768</v>
      </c>
      <c r="D18" s="8" t="s">
        <v>759</v>
      </c>
      <c r="E18" s="8" t="s">
        <v>769</v>
      </c>
      <c r="F18" s="8" t="s">
        <v>714</v>
      </c>
      <c r="G18" s="8" t="s">
        <v>770</v>
      </c>
      <c r="H18" s="9">
        <v>221619.82</v>
      </c>
    </row>
    <row r="19" spans="1:8" x14ac:dyDescent="0.2">
      <c r="A19" s="8" t="s">
        <v>756</v>
      </c>
      <c r="B19" s="8" t="s">
        <v>771</v>
      </c>
      <c r="C19" s="8" t="s">
        <v>772</v>
      </c>
      <c r="D19" s="8" t="s">
        <v>708</v>
      </c>
      <c r="E19" s="8" t="s">
        <v>773</v>
      </c>
      <c r="F19" s="8" t="s">
        <v>714</v>
      </c>
      <c r="G19" s="8" t="s">
        <v>765</v>
      </c>
      <c r="H19" s="9">
        <v>2433735.64</v>
      </c>
    </row>
    <row r="20" spans="1:8" x14ac:dyDescent="0.2">
      <c r="A20" s="8" t="s">
        <v>774</v>
      </c>
      <c r="B20" s="8" t="s">
        <v>775</v>
      </c>
      <c r="C20" s="8" t="s">
        <v>776</v>
      </c>
      <c r="D20" s="8" t="s">
        <v>777</v>
      </c>
      <c r="E20" s="8" t="s">
        <v>778</v>
      </c>
      <c r="F20" s="8" t="s">
        <v>714</v>
      </c>
      <c r="G20" s="8" t="s">
        <v>721</v>
      </c>
      <c r="H20" s="9">
        <v>42240.06</v>
      </c>
    </row>
    <row r="21" spans="1:8" x14ac:dyDescent="0.2">
      <c r="A21" s="8" t="s">
        <v>774</v>
      </c>
      <c r="B21" s="8" t="s">
        <v>779</v>
      </c>
      <c r="C21" s="8" t="s">
        <v>780</v>
      </c>
      <c r="D21" s="8" t="s">
        <v>781</v>
      </c>
      <c r="E21" s="8" t="s">
        <v>782</v>
      </c>
      <c r="F21" s="8" t="s">
        <v>714</v>
      </c>
      <c r="G21" s="8" t="s">
        <v>721</v>
      </c>
      <c r="H21" s="9">
        <v>749071.10000000009</v>
      </c>
    </row>
    <row r="22" spans="1:8" x14ac:dyDescent="0.2">
      <c r="A22" s="8" t="s">
        <v>783</v>
      </c>
      <c r="B22" s="8" t="s">
        <v>784</v>
      </c>
      <c r="C22" s="8" t="s">
        <v>785</v>
      </c>
      <c r="D22" s="8" t="s">
        <v>786</v>
      </c>
      <c r="E22" s="8" t="s">
        <v>787</v>
      </c>
      <c r="F22" s="8" t="s">
        <v>714</v>
      </c>
      <c r="G22" s="8" t="s">
        <v>788</v>
      </c>
      <c r="H22" s="9">
        <v>4925375.0100000007</v>
      </c>
    </row>
    <row r="23" spans="1:8" x14ac:dyDescent="0.2">
      <c r="A23" s="8" t="s">
        <v>789</v>
      </c>
      <c r="B23" s="8" t="s">
        <v>790</v>
      </c>
      <c r="C23" s="8" t="s">
        <v>791</v>
      </c>
      <c r="D23" s="8" t="s">
        <v>726</v>
      </c>
      <c r="E23" s="8" t="s">
        <v>727</v>
      </c>
      <c r="F23" s="8" t="s">
        <v>710</v>
      </c>
      <c r="G23" s="8" t="s">
        <v>711</v>
      </c>
      <c r="H23" s="9">
        <v>7546.84</v>
      </c>
    </row>
    <row r="24" spans="1:8" x14ac:dyDescent="0.2">
      <c r="A24" s="8" t="s">
        <v>789</v>
      </c>
      <c r="B24" s="8" t="s">
        <v>790</v>
      </c>
      <c r="C24" s="8" t="s">
        <v>792</v>
      </c>
      <c r="D24" s="8" t="s">
        <v>750</v>
      </c>
      <c r="E24" s="8" t="s">
        <v>793</v>
      </c>
      <c r="F24" s="8" t="s">
        <v>710</v>
      </c>
      <c r="G24" s="8" t="s">
        <v>711</v>
      </c>
      <c r="H24" s="9">
        <v>10884.95</v>
      </c>
    </row>
    <row r="25" spans="1:8" x14ac:dyDescent="0.2">
      <c r="A25" s="8" t="s">
        <v>789</v>
      </c>
      <c r="B25" s="8" t="s">
        <v>794</v>
      </c>
      <c r="C25" s="8" t="s">
        <v>792</v>
      </c>
      <c r="D25" s="8" t="s">
        <v>750</v>
      </c>
      <c r="E25" s="8" t="s">
        <v>795</v>
      </c>
      <c r="F25" s="8" t="s">
        <v>710</v>
      </c>
      <c r="G25" s="8" t="s">
        <v>711</v>
      </c>
      <c r="H25" s="9">
        <v>442119</v>
      </c>
    </row>
    <row r="26" spans="1:8" x14ac:dyDescent="0.2">
      <c r="A26" s="8" t="s">
        <v>789</v>
      </c>
      <c r="B26" s="8" t="s">
        <v>796</v>
      </c>
      <c r="C26" s="8" t="s">
        <v>797</v>
      </c>
      <c r="D26" s="8" t="s">
        <v>731</v>
      </c>
      <c r="E26" s="8" t="s">
        <v>798</v>
      </c>
      <c r="F26" s="8" t="s">
        <v>714</v>
      </c>
      <c r="G26" s="8" t="s">
        <v>799</v>
      </c>
      <c r="H26" s="9">
        <v>1880513.58</v>
      </c>
    </row>
    <row r="27" spans="1:8" x14ac:dyDescent="0.2">
      <c r="A27" s="8" t="s">
        <v>789</v>
      </c>
      <c r="B27" s="8" t="s">
        <v>796</v>
      </c>
      <c r="C27" s="8" t="s">
        <v>800</v>
      </c>
      <c r="D27" s="8" t="s">
        <v>801</v>
      </c>
      <c r="E27" s="8" t="s">
        <v>802</v>
      </c>
      <c r="F27" s="8" t="s">
        <v>714</v>
      </c>
      <c r="G27" s="8" t="s">
        <v>799</v>
      </c>
      <c r="H27" s="9">
        <v>1679410.37</v>
      </c>
    </row>
    <row r="28" spans="1:8" x14ac:dyDescent="0.2">
      <c r="A28" s="8" t="s">
        <v>789</v>
      </c>
      <c r="B28" s="8" t="s">
        <v>796</v>
      </c>
      <c r="C28" s="8" t="s">
        <v>803</v>
      </c>
      <c r="D28" s="8" t="s">
        <v>804</v>
      </c>
      <c r="E28" s="8" t="s">
        <v>805</v>
      </c>
      <c r="F28" s="8" t="s">
        <v>714</v>
      </c>
      <c r="G28" s="8" t="s">
        <v>799</v>
      </c>
      <c r="H28" s="9">
        <v>4387734.01</v>
      </c>
    </row>
    <row r="29" spans="1:8" x14ac:dyDescent="0.2">
      <c r="A29" s="8" t="s">
        <v>789</v>
      </c>
      <c r="B29" s="8" t="s">
        <v>796</v>
      </c>
      <c r="C29" s="8" t="s">
        <v>806</v>
      </c>
      <c r="D29" s="8" t="s">
        <v>750</v>
      </c>
      <c r="E29" s="8" t="s">
        <v>807</v>
      </c>
      <c r="F29" s="8" t="s">
        <v>714</v>
      </c>
      <c r="G29" s="8" t="s">
        <v>799</v>
      </c>
      <c r="H29" s="9">
        <v>2795539.5099999993</v>
      </c>
    </row>
    <row r="30" spans="1:8" x14ac:dyDescent="0.2">
      <c r="A30" s="8" t="s">
        <v>789</v>
      </c>
      <c r="B30" s="8" t="s">
        <v>796</v>
      </c>
      <c r="C30" s="8" t="s">
        <v>808</v>
      </c>
      <c r="D30" s="8" t="s">
        <v>781</v>
      </c>
      <c r="E30" s="8" t="s">
        <v>809</v>
      </c>
      <c r="F30" s="8" t="s">
        <v>714</v>
      </c>
      <c r="G30" s="8" t="s">
        <v>810</v>
      </c>
      <c r="H30" s="9">
        <v>4182140.2699999996</v>
      </c>
    </row>
    <row r="31" spans="1:8" x14ac:dyDescent="0.2">
      <c r="A31" s="8" t="s">
        <v>789</v>
      </c>
      <c r="B31" s="8" t="s">
        <v>796</v>
      </c>
      <c r="C31" s="8" t="s">
        <v>808</v>
      </c>
      <c r="D31" s="8" t="s">
        <v>781</v>
      </c>
      <c r="E31" s="8" t="s">
        <v>809</v>
      </c>
      <c r="F31" s="8" t="s">
        <v>714</v>
      </c>
      <c r="G31" s="8" t="s">
        <v>799</v>
      </c>
      <c r="H31" s="9">
        <v>4448151.1899999995</v>
      </c>
    </row>
    <row r="32" spans="1:8" x14ac:dyDescent="0.2">
      <c r="A32" s="8" t="s">
        <v>789</v>
      </c>
      <c r="B32" s="8" t="s">
        <v>796</v>
      </c>
      <c r="C32" s="8" t="s">
        <v>811</v>
      </c>
      <c r="D32" s="8" t="s">
        <v>781</v>
      </c>
      <c r="E32" s="8" t="s">
        <v>809</v>
      </c>
      <c r="F32" s="8" t="s">
        <v>714</v>
      </c>
      <c r="G32" s="8" t="s">
        <v>799</v>
      </c>
      <c r="H32" s="9">
        <v>2971433.85</v>
      </c>
    </row>
    <row r="33" spans="1:8" x14ac:dyDescent="0.2">
      <c r="A33" s="8" t="s">
        <v>789</v>
      </c>
      <c r="B33" s="8" t="s">
        <v>796</v>
      </c>
      <c r="C33" s="8" t="s">
        <v>791</v>
      </c>
      <c r="D33" s="8" t="s">
        <v>726</v>
      </c>
      <c r="E33" s="8" t="s">
        <v>727</v>
      </c>
      <c r="F33" s="8" t="s">
        <v>714</v>
      </c>
      <c r="G33" s="8" t="s">
        <v>799</v>
      </c>
      <c r="H33" s="9">
        <v>3713270.01</v>
      </c>
    </row>
    <row r="34" spans="1:8" x14ac:dyDescent="0.2">
      <c r="A34" s="8" t="s">
        <v>789</v>
      </c>
      <c r="B34" s="8" t="s">
        <v>796</v>
      </c>
      <c r="C34" s="8" t="s">
        <v>791</v>
      </c>
      <c r="D34" s="8" t="s">
        <v>726</v>
      </c>
      <c r="E34" s="8" t="s">
        <v>812</v>
      </c>
      <c r="F34" s="8" t="s">
        <v>714</v>
      </c>
      <c r="G34" s="8" t="s">
        <v>799</v>
      </c>
      <c r="H34" s="9">
        <v>2583556.61</v>
      </c>
    </row>
    <row r="35" spans="1:8" x14ac:dyDescent="0.2">
      <c r="A35" s="8" t="s">
        <v>789</v>
      </c>
      <c r="B35" s="8" t="s">
        <v>796</v>
      </c>
      <c r="C35" s="8" t="s">
        <v>791</v>
      </c>
      <c r="D35" s="8" t="s">
        <v>726</v>
      </c>
      <c r="E35" s="8" t="s">
        <v>813</v>
      </c>
      <c r="F35" s="8" t="s">
        <v>714</v>
      </c>
      <c r="G35" s="8" t="s">
        <v>799</v>
      </c>
      <c r="H35" s="9">
        <v>3542790.2600000002</v>
      </c>
    </row>
    <row r="36" spans="1:8" x14ac:dyDescent="0.2">
      <c r="A36" s="8" t="s">
        <v>789</v>
      </c>
      <c r="B36" s="8" t="s">
        <v>796</v>
      </c>
      <c r="C36" s="8" t="s">
        <v>814</v>
      </c>
      <c r="D36" s="8" t="s">
        <v>726</v>
      </c>
      <c r="E36" s="8" t="s">
        <v>727</v>
      </c>
      <c r="F36" s="8" t="s">
        <v>714</v>
      </c>
      <c r="G36" s="8" t="s">
        <v>799</v>
      </c>
      <c r="H36" s="9">
        <v>5511022.1699999999</v>
      </c>
    </row>
    <row r="37" spans="1:8" x14ac:dyDescent="0.2">
      <c r="A37" s="8" t="s">
        <v>789</v>
      </c>
      <c r="B37" s="8" t="s">
        <v>796</v>
      </c>
      <c r="C37" s="8" t="s">
        <v>814</v>
      </c>
      <c r="D37" s="8" t="s">
        <v>726</v>
      </c>
      <c r="E37" s="8" t="s">
        <v>812</v>
      </c>
      <c r="F37" s="8" t="s">
        <v>714</v>
      </c>
      <c r="G37" s="8" t="s">
        <v>799</v>
      </c>
      <c r="H37" s="9">
        <v>621751.27</v>
      </c>
    </row>
    <row r="38" spans="1:8" x14ac:dyDescent="0.2">
      <c r="A38" s="8" t="s">
        <v>789</v>
      </c>
      <c r="B38" s="8" t="s">
        <v>796</v>
      </c>
      <c r="C38" s="8" t="s">
        <v>814</v>
      </c>
      <c r="D38" s="8" t="s">
        <v>726</v>
      </c>
      <c r="E38" s="8" t="s">
        <v>813</v>
      </c>
      <c r="F38" s="8" t="s">
        <v>714</v>
      </c>
      <c r="G38" s="8" t="s">
        <v>799</v>
      </c>
      <c r="H38" s="9">
        <v>5640330.1500000004</v>
      </c>
    </row>
    <row r="39" spans="1:8" x14ac:dyDescent="0.2">
      <c r="A39" s="8" t="s">
        <v>789</v>
      </c>
      <c r="B39" s="8" t="s">
        <v>796</v>
      </c>
      <c r="C39" s="8" t="s">
        <v>792</v>
      </c>
      <c r="D39" s="8" t="s">
        <v>750</v>
      </c>
      <c r="E39" s="8" t="s">
        <v>807</v>
      </c>
      <c r="F39" s="8" t="s">
        <v>714</v>
      </c>
      <c r="G39" s="8" t="s">
        <v>810</v>
      </c>
      <c r="H39" s="9">
        <v>1264319.92</v>
      </c>
    </row>
    <row r="40" spans="1:8" x14ac:dyDescent="0.2">
      <c r="A40" s="8" t="s">
        <v>789</v>
      </c>
      <c r="B40" s="8" t="s">
        <v>796</v>
      </c>
      <c r="C40" s="8" t="s">
        <v>792</v>
      </c>
      <c r="D40" s="8" t="s">
        <v>750</v>
      </c>
      <c r="E40" s="8" t="s">
        <v>807</v>
      </c>
      <c r="F40" s="8" t="s">
        <v>714</v>
      </c>
      <c r="G40" s="8" t="s">
        <v>799</v>
      </c>
      <c r="H40" s="9">
        <v>1206562.5</v>
      </c>
    </row>
    <row r="41" spans="1:8" x14ac:dyDescent="0.2">
      <c r="A41" s="8" t="s">
        <v>789</v>
      </c>
      <c r="B41" s="8" t="s">
        <v>815</v>
      </c>
      <c r="C41" s="8" t="s">
        <v>816</v>
      </c>
      <c r="D41" s="8" t="s">
        <v>726</v>
      </c>
      <c r="E41" s="8" t="s">
        <v>817</v>
      </c>
      <c r="F41" s="8" t="s">
        <v>714</v>
      </c>
      <c r="G41" s="8" t="s">
        <v>818</v>
      </c>
      <c r="H41" s="9">
        <v>3073255.68</v>
      </c>
    </row>
    <row r="42" spans="1:8" x14ac:dyDescent="0.2">
      <c r="A42" s="8" t="s">
        <v>789</v>
      </c>
      <c r="B42" s="8" t="s">
        <v>815</v>
      </c>
      <c r="C42" s="8" t="s">
        <v>819</v>
      </c>
      <c r="D42" s="8" t="s">
        <v>726</v>
      </c>
      <c r="E42" s="8" t="s">
        <v>817</v>
      </c>
      <c r="F42" s="8" t="s">
        <v>714</v>
      </c>
      <c r="G42" s="8" t="s">
        <v>818</v>
      </c>
      <c r="H42" s="9">
        <v>1943793.45</v>
      </c>
    </row>
    <row r="43" spans="1:8" x14ac:dyDescent="0.2">
      <c r="A43" s="8" t="s">
        <v>789</v>
      </c>
      <c r="B43" s="8" t="s">
        <v>815</v>
      </c>
      <c r="C43" s="8" t="s">
        <v>820</v>
      </c>
      <c r="D43" s="8" t="s">
        <v>731</v>
      </c>
      <c r="E43" s="8" t="s">
        <v>821</v>
      </c>
      <c r="F43" s="8" t="s">
        <v>714</v>
      </c>
      <c r="G43" s="8" t="s">
        <v>799</v>
      </c>
      <c r="H43" s="9">
        <v>5785590.1000000006</v>
      </c>
    </row>
    <row r="44" spans="1:8" x14ac:dyDescent="0.2">
      <c r="A44" s="8" t="s">
        <v>789</v>
      </c>
      <c r="B44" s="8" t="s">
        <v>822</v>
      </c>
      <c r="C44" s="8" t="s">
        <v>823</v>
      </c>
      <c r="D44" s="8" t="s">
        <v>824</v>
      </c>
      <c r="E44" s="8" t="s">
        <v>825</v>
      </c>
      <c r="F44" s="8" t="s">
        <v>714</v>
      </c>
      <c r="G44" s="8" t="s">
        <v>788</v>
      </c>
      <c r="H44" s="9">
        <v>8049.5</v>
      </c>
    </row>
    <row r="45" spans="1:8" x14ac:dyDescent="0.2">
      <c r="A45" s="8" t="s">
        <v>789</v>
      </c>
      <c r="B45" s="8" t="s">
        <v>822</v>
      </c>
      <c r="C45" s="8" t="s">
        <v>826</v>
      </c>
      <c r="D45" s="8" t="s">
        <v>827</v>
      </c>
      <c r="E45" s="8" t="s">
        <v>828</v>
      </c>
      <c r="F45" s="8" t="s">
        <v>714</v>
      </c>
      <c r="G45" s="8" t="s">
        <v>788</v>
      </c>
      <c r="H45" s="9">
        <v>292063.33</v>
      </c>
    </row>
    <row r="46" spans="1:8" x14ac:dyDescent="0.2">
      <c r="A46" s="8" t="s">
        <v>789</v>
      </c>
      <c r="B46" s="8" t="s">
        <v>822</v>
      </c>
      <c r="C46" s="8" t="s">
        <v>829</v>
      </c>
      <c r="D46" s="8" t="s">
        <v>734</v>
      </c>
      <c r="E46" s="8" t="s">
        <v>732</v>
      </c>
      <c r="F46" s="8" t="s">
        <v>714</v>
      </c>
      <c r="G46" s="8" t="s">
        <v>788</v>
      </c>
      <c r="H46" s="9">
        <v>34136.639999999999</v>
      </c>
    </row>
    <row r="47" spans="1:8" x14ac:dyDescent="0.2">
      <c r="A47" s="8" t="s">
        <v>789</v>
      </c>
      <c r="B47" s="8" t="s">
        <v>822</v>
      </c>
      <c r="C47" s="8" t="s">
        <v>829</v>
      </c>
      <c r="D47" s="8" t="s">
        <v>830</v>
      </c>
      <c r="E47" s="8" t="s">
        <v>732</v>
      </c>
      <c r="F47" s="8" t="s">
        <v>714</v>
      </c>
      <c r="G47" s="8" t="s">
        <v>788</v>
      </c>
      <c r="H47" s="9">
        <v>354130.44</v>
      </c>
    </row>
    <row r="48" spans="1:8" x14ac:dyDescent="0.2">
      <c r="A48" s="8" t="s">
        <v>789</v>
      </c>
      <c r="B48" s="8" t="s">
        <v>822</v>
      </c>
      <c r="C48" s="8" t="s">
        <v>831</v>
      </c>
      <c r="D48" s="8" t="s">
        <v>832</v>
      </c>
      <c r="E48" s="8" t="s">
        <v>833</v>
      </c>
      <c r="F48" s="8" t="s">
        <v>714</v>
      </c>
      <c r="G48" s="8" t="s">
        <v>788</v>
      </c>
      <c r="H48" s="9">
        <v>2896576.0100000002</v>
      </c>
    </row>
    <row r="49" spans="1:8" x14ac:dyDescent="0.2">
      <c r="A49" s="8" t="s">
        <v>789</v>
      </c>
      <c r="B49" s="8" t="s">
        <v>822</v>
      </c>
      <c r="C49" s="8" t="s">
        <v>834</v>
      </c>
      <c r="D49" s="8" t="s">
        <v>835</v>
      </c>
      <c r="E49" s="8" t="s">
        <v>836</v>
      </c>
      <c r="F49" s="8" t="s">
        <v>714</v>
      </c>
      <c r="G49" s="8" t="s">
        <v>788</v>
      </c>
      <c r="H49" s="9">
        <v>9799.68</v>
      </c>
    </row>
    <row r="50" spans="1:8" x14ac:dyDescent="0.2">
      <c r="A50" s="8" t="s">
        <v>789</v>
      </c>
      <c r="B50" s="8" t="s">
        <v>822</v>
      </c>
      <c r="C50" s="8" t="s">
        <v>837</v>
      </c>
      <c r="D50" s="8" t="s">
        <v>838</v>
      </c>
      <c r="E50" s="8" t="s">
        <v>839</v>
      </c>
      <c r="F50" s="8" t="s">
        <v>714</v>
      </c>
      <c r="G50" s="8" t="s">
        <v>788</v>
      </c>
      <c r="H50" s="9">
        <v>41860.409999999996</v>
      </c>
    </row>
    <row r="51" spans="1:8" x14ac:dyDescent="0.2">
      <c r="A51" s="8" t="s">
        <v>789</v>
      </c>
      <c r="B51" s="8" t="s">
        <v>822</v>
      </c>
      <c r="C51" s="8" t="s">
        <v>840</v>
      </c>
      <c r="D51" s="8" t="s">
        <v>841</v>
      </c>
      <c r="E51" s="8" t="s">
        <v>842</v>
      </c>
      <c r="F51" s="8" t="s">
        <v>714</v>
      </c>
      <c r="G51" s="8" t="s">
        <v>788</v>
      </c>
      <c r="H51" s="9">
        <v>28232.7</v>
      </c>
    </row>
    <row r="52" spans="1:8" x14ac:dyDescent="0.2">
      <c r="A52" s="8" t="s">
        <v>789</v>
      </c>
      <c r="B52" s="8" t="s">
        <v>822</v>
      </c>
      <c r="C52" s="8" t="s">
        <v>843</v>
      </c>
      <c r="D52" s="8" t="s">
        <v>734</v>
      </c>
      <c r="E52" s="8" t="s">
        <v>732</v>
      </c>
      <c r="F52" s="8" t="s">
        <v>714</v>
      </c>
      <c r="G52" s="8" t="s">
        <v>788</v>
      </c>
      <c r="H52" s="9">
        <v>2524333.4200000004</v>
      </c>
    </row>
    <row r="53" spans="1:8" x14ac:dyDescent="0.2">
      <c r="A53" s="8" t="s">
        <v>789</v>
      </c>
      <c r="B53" s="8" t="s">
        <v>822</v>
      </c>
      <c r="C53" s="8" t="s">
        <v>844</v>
      </c>
      <c r="D53" s="8" t="s">
        <v>750</v>
      </c>
      <c r="E53" s="8" t="s">
        <v>807</v>
      </c>
      <c r="F53" s="8" t="s">
        <v>714</v>
      </c>
      <c r="G53" s="8" t="s">
        <v>788</v>
      </c>
      <c r="H53" s="9">
        <v>3218961.1100000008</v>
      </c>
    </row>
    <row r="54" spans="1:8" x14ac:dyDescent="0.2">
      <c r="A54" s="8" t="s">
        <v>789</v>
      </c>
      <c r="B54" s="8" t="s">
        <v>822</v>
      </c>
      <c r="C54" s="8" t="s">
        <v>845</v>
      </c>
      <c r="D54" s="8" t="s">
        <v>846</v>
      </c>
      <c r="E54" s="8" t="s">
        <v>821</v>
      </c>
      <c r="F54" s="8" t="s">
        <v>714</v>
      </c>
      <c r="G54" s="8" t="s">
        <v>788</v>
      </c>
      <c r="H54" s="9">
        <v>65521.280000000006</v>
      </c>
    </row>
    <row r="55" spans="1:8" x14ac:dyDescent="0.2">
      <c r="A55" s="8" t="s">
        <v>789</v>
      </c>
      <c r="B55" s="8" t="s">
        <v>822</v>
      </c>
      <c r="C55" s="8" t="s">
        <v>847</v>
      </c>
      <c r="D55" s="8" t="s">
        <v>848</v>
      </c>
      <c r="E55" s="8" t="s">
        <v>825</v>
      </c>
      <c r="F55" s="8" t="s">
        <v>714</v>
      </c>
      <c r="G55" s="8" t="s">
        <v>788</v>
      </c>
      <c r="H55" s="9">
        <v>45484.700000000004</v>
      </c>
    </row>
    <row r="56" spans="1:8" x14ac:dyDescent="0.2">
      <c r="A56" s="8" t="s">
        <v>789</v>
      </c>
      <c r="B56" s="8" t="s">
        <v>822</v>
      </c>
      <c r="C56" s="8" t="s">
        <v>849</v>
      </c>
      <c r="D56" s="8" t="s">
        <v>850</v>
      </c>
      <c r="E56" s="8" t="s">
        <v>851</v>
      </c>
      <c r="F56" s="8" t="s">
        <v>714</v>
      </c>
      <c r="G56" s="8" t="s">
        <v>788</v>
      </c>
      <c r="H56" s="9">
        <v>1410208.76</v>
      </c>
    </row>
    <row r="57" spans="1:8" x14ac:dyDescent="0.2">
      <c r="A57" s="8" t="s">
        <v>789</v>
      </c>
      <c r="B57" s="8" t="s">
        <v>822</v>
      </c>
      <c r="C57" s="8" t="s">
        <v>849</v>
      </c>
      <c r="D57" s="8" t="s">
        <v>852</v>
      </c>
      <c r="E57" s="8" t="s">
        <v>853</v>
      </c>
      <c r="F57" s="8" t="s">
        <v>714</v>
      </c>
      <c r="G57" s="8" t="s">
        <v>788</v>
      </c>
      <c r="H57" s="9">
        <v>189399.9</v>
      </c>
    </row>
    <row r="58" spans="1:8" x14ac:dyDescent="0.2">
      <c r="A58" s="8" t="s">
        <v>789</v>
      </c>
      <c r="B58" s="8" t="s">
        <v>822</v>
      </c>
      <c r="C58" s="8" t="s">
        <v>849</v>
      </c>
      <c r="D58" s="8" t="s">
        <v>801</v>
      </c>
      <c r="E58" s="8" t="s">
        <v>802</v>
      </c>
      <c r="F58" s="8" t="s">
        <v>714</v>
      </c>
      <c r="G58" s="8" t="s">
        <v>788</v>
      </c>
      <c r="H58" s="9">
        <v>6457786.6600000001</v>
      </c>
    </row>
    <row r="59" spans="1:8" x14ac:dyDescent="0.2">
      <c r="A59" s="8" t="s">
        <v>789</v>
      </c>
      <c r="B59" s="8" t="s">
        <v>822</v>
      </c>
      <c r="C59" s="8" t="s">
        <v>854</v>
      </c>
      <c r="D59" s="8" t="s">
        <v>850</v>
      </c>
      <c r="E59" s="8" t="s">
        <v>851</v>
      </c>
      <c r="F59" s="8" t="s">
        <v>714</v>
      </c>
      <c r="G59" s="8" t="s">
        <v>788</v>
      </c>
      <c r="H59" s="9">
        <v>18127.87</v>
      </c>
    </row>
    <row r="60" spans="1:8" x14ac:dyDescent="0.2">
      <c r="A60" s="8" t="s">
        <v>789</v>
      </c>
      <c r="B60" s="8" t="s">
        <v>822</v>
      </c>
      <c r="C60" s="8" t="s">
        <v>855</v>
      </c>
      <c r="D60" s="8" t="s">
        <v>801</v>
      </c>
      <c r="E60" s="8" t="s">
        <v>802</v>
      </c>
      <c r="F60" s="8" t="s">
        <v>714</v>
      </c>
      <c r="G60" s="8" t="s">
        <v>788</v>
      </c>
      <c r="H60" s="9">
        <v>39277.06</v>
      </c>
    </row>
    <row r="61" spans="1:8" x14ac:dyDescent="0.2">
      <c r="A61" s="8" t="s">
        <v>789</v>
      </c>
      <c r="B61" s="8" t="s">
        <v>822</v>
      </c>
      <c r="C61" s="8" t="s">
        <v>856</v>
      </c>
      <c r="D61" s="8" t="s">
        <v>781</v>
      </c>
      <c r="E61" s="8" t="s">
        <v>857</v>
      </c>
      <c r="F61" s="8" t="s">
        <v>714</v>
      </c>
      <c r="G61" s="8" t="s">
        <v>788</v>
      </c>
      <c r="H61" s="9">
        <v>1301190.6700000004</v>
      </c>
    </row>
    <row r="62" spans="1:8" x14ac:dyDescent="0.2">
      <c r="A62" s="8" t="s">
        <v>789</v>
      </c>
      <c r="B62" s="8" t="s">
        <v>822</v>
      </c>
      <c r="C62" s="8" t="s">
        <v>858</v>
      </c>
      <c r="D62" s="8" t="s">
        <v>859</v>
      </c>
      <c r="E62" s="8" t="s">
        <v>860</v>
      </c>
      <c r="F62" s="8" t="s">
        <v>714</v>
      </c>
      <c r="G62" s="8" t="s">
        <v>788</v>
      </c>
      <c r="H62" s="9">
        <v>629228.81000000006</v>
      </c>
    </row>
    <row r="63" spans="1:8" x14ac:dyDescent="0.2">
      <c r="A63" s="8" t="s">
        <v>789</v>
      </c>
      <c r="B63" s="8" t="s">
        <v>822</v>
      </c>
      <c r="C63" s="8" t="s">
        <v>861</v>
      </c>
      <c r="D63" s="8" t="s">
        <v>859</v>
      </c>
      <c r="E63" s="8" t="s">
        <v>860</v>
      </c>
      <c r="F63" s="8" t="s">
        <v>714</v>
      </c>
      <c r="G63" s="8" t="s">
        <v>788</v>
      </c>
      <c r="H63" s="9">
        <v>7005.96</v>
      </c>
    </row>
    <row r="64" spans="1:8" x14ac:dyDescent="0.2">
      <c r="A64" s="8" t="s">
        <v>789</v>
      </c>
      <c r="B64" s="8" t="s">
        <v>822</v>
      </c>
      <c r="C64" s="8" t="s">
        <v>862</v>
      </c>
      <c r="D64" s="8" t="s">
        <v>859</v>
      </c>
      <c r="E64" s="8" t="s">
        <v>860</v>
      </c>
      <c r="F64" s="8" t="s">
        <v>714</v>
      </c>
      <c r="G64" s="8" t="s">
        <v>788</v>
      </c>
      <c r="H64" s="9">
        <v>6042.62</v>
      </c>
    </row>
    <row r="65" spans="1:8" x14ac:dyDescent="0.2">
      <c r="A65" s="8" t="s">
        <v>789</v>
      </c>
      <c r="B65" s="8" t="s">
        <v>822</v>
      </c>
      <c r="C65" s="8" t="s">
        <v>863</v>
      </c>
      <c r="D65" s="8" t="s">
        <v>859</v>
      </c>
      <c r="E65" s="8" t="s">
        <v>860</v>
      </c>
      <c r="F65" s="8" t="s">
        <v>714</v>
      </c>
      <c r="G65" s="8" t="s">
        <v>788</v>
      </c>
      <c r="H65" s="9">
        <v>125567.86000000002</v>
      </c>
    </row>
    <row r="66" spans="1:8" x14ac:dyDescent="0.2">
      <c r="A66" s="8" t="s">
        <v>789</v>
      </c>
      <c r="B66" s="8" t="s">
        <v>822</v>
      </c>
      <c r="C66" s="8" t="s">
        <v>863</v>
      </c>
      <c r="D66" s="8" t="s">
        <v>864</v>
      </c>
      <c r="E66" s="8" t="s">
        <v>865</v>
      </c>
      <c r="F66" s="8" t="s">
        <v>714</v>
      </c>
      <c r="G66" s="8" t="s">
        <v>788</v>
      </c>
      <c r="H66" s="9">
        <v>27101.7</v>
      </c>
    </row>
    <row r="67" spans="1:8" x14ac:dyDescent="0.2">
      <c r="A67" s="8" t="s">
        <v>789</v>
      </c>
      <c r="B67" s="8" t="s">
        <v>822</v>
      </c>
      <c r="C67" s="8" t="s">
        <v>866</v>
      </c>
      <c r="D67" s="8" t="s">
        <v>731</v>
      </c>
      <c r="E67" s="8" t="s">
        <v>821</v>
      </c>
      <c r="F67" s="8" t="s">
        <v>714</v>
      </c>
      <c r="G67" s="8" t="s">
        <v>788</v>
      </c>
      <c r="H67" s="9">
        <v>745830.14</v>
      </c>
    </row>
    <row r="68" spans="1:8" x14ac:dyDescent="0.2">
      <c r="A68" s="8" t="s">
        <v>789</v>
      </c>
      <c r="B68" s="8" t="s">
        <v>822</v>
      </c>
      <c r="C68" s="8" t="s">
        <v>866</v>
      </c>
      <c r="D68" s="8" t="s">
        <v>786</v>
      </c>
      <c r="E68" s="8" t="s">
        <v>821</v>
      </c>
      <c r="F68" s="8" t="s">
        <v>714</v>
      </c>
      <c r="G68" s="8" t="s">
        <v>788</v>
      </c>
      <c r="H68" s="9">
        <v>57974.400000000001</v>
      </c>
    </row>
    <row r="69" spans="1:8" x14ac:dyDescent="0.2">
      <c r="A69" s="8" t="s">
        <v>789</v>
      </c>
      <c r="B69" s="8" t="s">
        <v>822</v>
      </c>
      <c r="C69" s="8" t="s">
        <v>867</v>
      </c>
      <c r="D69" s="8" t="s">
        <v>786</v>
      </c>
      <c r="E69" s="8" t="s">
        <v>868</v>
      </c>
      <c r="F69" s="8" t="s">
        <v>714</v>
      </c>
      <c r="G69" s="8" t="s">
        <v>788</v>
      </c>
      <c r="H69" s="9">
        <v>15540508.409999996</v>
      </c>
    </row>
    <row r="70" spans="1:8" x14ac:dyDescent="0.2">
      <c r="A70" s="8" t="s">
        <v>789</v>
      </c>
      <c r="B70" s="8" t="s">
        <v>822</v>
      </c>
      <c r="C70" s="8" t="s">
        <v>869</v>
      </c>
      <c r="D70" s="8" t="s">
        <v>731</v>
      </c>
      <c r="E70" s="8" t="s">
        <v>821</v>
      </c>
      <c r="F70" s="8" t="s">
        <v>714</v>
      </c>
      <c r="G70" s="8" t="s">
        <v>788</v>
      </c>
      <c r="H70" s="9">
        <v>706138.75000000012</v>
      </c>
    </row>
    <row r="71" spans="1:8" x14ac:dyDescent="0.2">
      <c r="A71" s="8" t="s">
        <v>789</v>
      </c>
      <c r="B71" s="8" t="s">
        <v>822</v>
      </c>
      <c r="C71" s="8" t="s">
        <v>870</v>
      </c>
      <c r="D71" s="8" t="s">
        <v>726</v>
      </c>
      <c r="E71" s="8" t="s">
        <v>871</v>
      </c>
      <c r="F71" s="8" t="s">
        <v>714</v>
      </c>
      <c r="G71" s="8" t="s">
        <v>788</v>
      </c>
      <c r="H71" s="9">
        <v>1612531.97</v>
      </c>
    </row>
    <row r="72" spans="1:8" x14ac:dyDescent="0.2">
      <c r="A72" s="8" t="s">
        <v>789</v>
      </c>
      <c r="B72" s="8" t="s">
        <v>822</v>
      </c>
      <c r="C72" s="8" t="s">
        <v>870</v>
      </c>
      <c r="D72" s="8" t="s">
        <v>726</v>
      </c>
      <c r="E72" s="8" t="s">
        <v>812</v>
      </c>
      <c r="F72" s="8" t="s">
        <v>714</v>
      </c>
      <c r="G72" s="8" t="s">
        <v>788</v>
      </c>
      <c r="H72" s="9">
        <v>250947.29</v>
      </c>
    </row>
    <row r="73" spans="1:8" x14ac:dyDescent="0.2">
      <c r="A73" s="8" t="s">
        <v>789</v>
      </c>
      <c r="B73" s="8" t="s">
        <v>822</v>
      </c>
      <c r="C73" s="8" t="s">
        <v>872</v>
      </c>
      <c r="D73" s="8" t="s">
        <v>726</v>
      </c>
      <c r="E73" s="8" t="s">
        <v>871</v>
      </c>
      <c r="F73" s="8" t="s">
        <v>714</v>
      </c>
      <c r="G73" s="8" t="s">
        <v>788</v>
      </c>
      <c r="H73" s="9">
        <v>589092.87</v>
      </c>
    </row>
    <row r="74" spans="1:8" x14ac:dyDescent="0.2">
      <c r="A74" s="8" t="s">
        <v>789</v>
      </c>
      <c r="B74" s="8" t="s">
        <v>822</v>
      </c>
      <c r="C74" s="8" t="s">
        <v>873</v>
      </c>
      <c r="D74" s="8" t="s">
        <v>874</v>
      </c>
      <c r="E74" s="8" t="s">
        <v>875</v>
      </c>
      <c r="F74" s="8" t="s">
        <v>714</v>
      </c>
      <c r="G74" s="8" t="s">
        <v>788</v>
      </c>
      <c r="H74" s="9">
        <v>39070.300000000003</v>
      </c>
    </row>
    <row r="75" spans="1:8" x14ac:dyDescent="0.2">
      <c r="A75" s="8" t="s">
        <v>789</v>
      </c>
      <c r="B75" s="8" t="s">
        <v>822</v>
      </c>
      <c r="C75" s="8" t="s">
        <v>876</v>
      </c>
      <c r="D75" s="8" t="s">
        <v>874</v>
      </c>
      <c r="E75" s="8" t="s">
        <v>875</v>
      </c>
      <c r="F75" s="8" t="s">
        <v>714</v>
      </c>
      <c r="G75" s="8" t="s">
        <v>788</v>
      </c>
      <c r="H75" s="9">
        <v>19614.080000000002</v>
      </c>
    </row>
    <row r="76" spans="1:8" x14ac:dyDescent="0.2">
      <c r="A76" s="8" t="s">
        <v>789</v>
      </c>
      <c r="B76" s="8" t="s">
        <v>822</v>
      </c>
      <c r="C76" s="8" t="s">
        <v>877</v>
      </c>
      <c r="D76" s="8" t="s">
        <v>781</v>
      </c>
      <c r="E76" s="8" t="s">
        <v>857</v>
      </c>
      <c r="F76" s="8" t="s">
        <v>714</v>
      </c>
      <c r="G76" s="8" t="s">
        <v>788</v>
      </c>
      <c r="H76" s="9">
        <v>4009656.7499999991</v>
      </c>
    </row>
    <row r="77" spans="1:8" x14ac:dyDescent="0.2">
      <c r="A77" s="8" t="s">
        <v>789</v>
      </c>
      <c r="B77" s="8" t="s">
        <v>822</v>
      </c>
      <c r="C77" s="8" t="s">
        <v>878</v>
      </c>
      <c r="D77" s="8" t="s">
        <v>781</v>
      </c>
      <c r="E77" s="8" t="s">
        <v>857</v>
      </c>
      <c r="F77" s="8" t="s">
        <v>714</v>
      </c>
      <c r="G77" s="8" t="s">
        <v>788</v>
      </c>
      <c r="H77" s="9">
        <v>30213.119999999999</v>
      </c>
    </row>
    <row r="78" spans="1:8" x14ac:dyDescent="0.2">
      <c r="A78" s="8" t="s">
        <v>789</v>
      </c>
      <c r="B78" s="8" t="s">
        <v>822</v>
      </c>
      <c r="C78" s="8" t="s">
        <v>879</v>
      </c>
      <c r="D78" s="8" t="s">
        <v>880</v>
      </c>
      <c r="E78" s="8" t="s">
        <v>825</v>
      </c>
      <c r="F78" s="8" t="s">
        <v>714</v>
      </c>
      <c r="G78" s="8" t="s">
        <v>788</v>
      </c>
      <c r="H78" s="9">
        <v>45341.25</v>
      </c>
    </row>
    <row r="79" spans="1:8" x14ac:dyDescent="0.2">
      <c r="A79" s="8" t="s">
        <v>789</v>
      </c>
      <c r="B79" s="8" t="s">
        <v>822</v>
      </c>
      <c r="C79" s="8" t="s">
        <v>881</v>
      </c>
      <c r="D79" s="8" t="s">
        <v>734</v>
      </c>
      <c r="E79" s="8" t="s">
        <v>732</v>
      </c>
      <c r="F79" s="8" t="s">
        <v>714</v>
      </c>
      <c r="G79" s="8" t="s">
        <v>788</v>
      </c>
      <c r="H79" s="9">
        <v>18127.88</v>
      </c>
    </row>
    <row r="80" spans="1:8" x14ac:dyDescent="0.2">
      <c r="A80" s="8" t="s">
        <v>789</v>
      </c>
      <c r="B80" s="8" t="s">
        <v>822</v>
      </c>
      <c r="C80" s="8" t="s">
        <v>882</v>
      </c>
      <c r="D80" s="8" t="s">
        <v>804</v>
      </c>
      <c r="E80" s="8" t="s">
        <v>805</v>
      </c>
      <c r="F80" s="8" t="s">
        <v>714</v>
      </c>
      <c r="G80" s="8" t="s">
        <v>788</v>
      </c>
      <c r="H80" s="9">
        <v>149092.79999999999</v>
      </c>
    </row>
    <row r="81" spans="1:8" x14ac:dyDescent="0.2">
      <c r="A81" s="8" t="s">
        <v>789</v>
      </c>
      <c r="B81" s="8" t="s">
        <v>822</v>
      </c>
      <c r="C81" s="8" t="s">
        <v>883</v>
      </c>
      <c r="D81" s="8" t="s">
        <v>750</v>
      </c>
      <c r="E81" s="8" t="s">
        <v>807</v>
      </c>
      <c r="F81" s="8" t="s">
        <v>714</v>
      </c>
      <c r="G81" s="8" t="s">
        <v>788</v>
      </c>
      <c r="H81" s="9">
        <v>544272.89999999991</v>
      </c>
    </row>
    <row r="82" spans="1:8" x14ac:dyDescent="0.2">
      <c r="A82" s="8" t="s">
        <v>789</v>
      </c>
      <c r="B82" s="8" t="s">
        <v>822</v>
      </c>
      <c r="C82" s="8" t="s">
        <v>884</v>
      </c>
      <c r="D82" s="8" t="s">
        <v>885</v>
      </c>
      <c r="E82" s="8" t="s">
        <v>886</v>
      </c>
      <c r="F82" s="8" t="s">
        <v>714</v>
      </c>
      <c r="G82" s="8" t="s">
        <v>788</v>
      </c>
      <c r="H82" s="9">
        <v>1015268.84</v>
      </c>
    </row>
    <row r="83" spans="1:8" x14ac:dyDescent="0.2">
      <c r="A83" s="8" t="s">
        <v>789</v>
      </c>
      <c r="B83" s="8" t="s">
        <v>822</v>
      </c>
      <c r="C83" s="8" t="s">
        <v>887</v>
      </c>
      <c r="D83" s="8" t="s">
        <v>885</v>
      </c>
      <c r="E83" s="8" t="s">
        <v>886</v>
      </c>
      <c r="F83" s="8" t="s">
        <v>714</v>
      </c>
      <c r="G83" s="8" t="s">
        <v>788</v>
      </c>
      <c r="H83" s="9">
        <v>8713.65</v>
      </c>
    </row>
    <row r="84" spans="1:8" x14ac:dyDescent="0.2">
      <c r="A84" s="8" t="s">
        <v>789</v>
      </c>
      <c r="B84" s="8" t="s">
        <v>822</v>
      </c>
      <c r="C84" s="8" t="s">
        <v>888</v>
      </c>
      <c r="D84" s="8" t="s">
        <v>889</v>
      </c>
      <c r="E84" s="8" t="s">
        <v>890</v>
      </c>
      <c r="F84" s="8" t="s">
        <v>714</v>
      </c>
      <c r="G84" s="8" t="s">
        <v>788</v>
      </c>
      <c r="H84" s="9">
        <v>39198.720000000001</v>
      </c>
    </row>
    <row r="85" spans="1:8" x14ac:dyDescent="0.2">
      <c r="A85" s="8" t="s">
        <v>789</v>
      </c>
      <c r="B85" s="8" t="s">
        <v>822</v>
      </c>
      <c r="C85" s="8" t="s">
        <v>891</v>
      </c>
      <c r="D85" s="8" t="s">
        <v>892</v>
      </c>
      <c r="E85" s="8" t="s">
        <v>893</v>
      </c>
      <c r="F85" s="8" t="s">
        <v>714</v>
      </c>
      <c r="G85" s="8" t="s">
        <v>788</v>
      </c>
      <c r="H85" s="9">
        <v>174539.02000000002</v>
      </c>
    </row>
    <row r="86" spans="1:8" x14ac:dyDescent="0.2">
      <c r="A86" s="8" t="s">
        <v>789</v>
      </c>
      <c r="B86" s="8" t="s">
        <v>822</v>
      </c>
      <c r="C86" s="8" t="s">
        <v>894</v>
      </c>
      <c r="D86" s="8" t="s">
        <v>731</v>
      </c>
      <c r="E86" s="8" t="s">
        <v>895</v>
      </c>
      <c r="F86" s="8" t="s">
        <v>714</v>
      </c>
      <c r="G86" s="8" t="s">
        <v>788</v>
      </c>
      <c r="H86" s="9">
        <v>167935.17</v>
      </c>
    </row>
    <row r="87" spans="1:8" x14ac:dyDescent="0.2">
      <c r="A87" s="8" t="s">
        <v>789</v>
      </c>
      <c r="B87" s="8" t="s">
        <v>822</v>
      </c>
      <c r="C87" s="8" t="s">
        <v>896</v>
      </c>
      <c r="D87" s="8" t="s">
        <v>754</v>
      </c>
      <c r="E87" s="8" t="s">
        <v>825</v>
      </c>
      <c r="F87" s="8" t="s">
        <v>714</v>
      </c>
      <c r="G87" s="8" t="s">
        <v>788</v>
      </c>
      <c r="H87" s="9">
        <v>29444.65</v>
      </c>
    </row>
    <row r="88" spans="1:8" x14ac:dyDescent="0.2">
      <c r="A88" s="8" t="s">
        <v>789</v>
      </c>
      <c r="B88" s="8" t="s">
        <v>822</v>
      </c>
      <c r="C88" s="8" t="s">
        <v>897</v>
      </c>
      <c r="D88" s="8" t="s">
        <v>898</v>
      </c>
      <c r="E88" s="8" t="s">
        <v>825</v>
      </c>
      <c r="F88" s="8" t="s">
        <v>714</v>
      </c>
      <c r="G88" s="8" t="s">
        <v>788</v>
      </c>
      <c r="H88" s="9">
        <v>801572.3</v>
      </c>
    </row>
    <row r="89" spans="1:8" x14ac:dyDescent="0.2">
      <c r="A89" s="8" t="s">
        <v>789</v>
      </c>
      <c r="B89" s="8" t="s">
        <v>822</v>
      </c>
      <c r="C89" s="8" t="s">
        <v>899</v>
      </c>
      <c r="D89" s="8" t="s">
        <v>900</v>
      </c>
      <c r="E89" s="8" t="s">
        <v>901</v>
      </c>
      <c r="F89" s="8" t="s">
        <v>714</v>
      </c>
      <c r="G89" s="8" t="s">
        <v>788</v>
      </c>
      <c r="H89" s="9">
        <v>366388.51999999996</v>
      </c>
    </row>
    <row r="90" spans="1:8" x14ac:dyDescent="0.2">
      <c r="A90" s="8" t="s">
        <v>789</v>
      </c>
      <c r="B90" s="8" t="s">
        <v>822</v>
      </c>
      <c r="C90" s="8" t="s">
        <v>902</v>
      </c>
      <c r="D90" s="8" t="s">
        <v>903</v>
      </c>
      <c r="E90" s="8" t="s">
        <v>904</v>
      </c>
      <c r="F90" s="8" t="s">
        <v>714</v>
      </c>
      <c r="G90" s="8" t="s">
        <v>788</v>
      </c>
      <c r="H90" s="9">
        <v>1397843.2700000003</v>
      </c>
    </row>
    <row r="91" spans="1:8" x14ac:dyDescent="0.2">
      <c r="A91" s="8" t="s">
        <v>789</v>
      </c>
      <c r="B91" s="8" t="s">
        <v>822</v>
      </c>
      <c r="C91" s="8" t="s">
        <v>905</v>
      </c>
      <c r="D91" s="8" t="s">
        <v>906</v>
      </c>
      <c r="E91" s="8" t="s">
        <v>732</v>
      </c>
      <c r="F91" s="8" t="s">
        <v>714</v>
      </c>
      <c r="G91" s="8" t="s">
        <v>907</v>
      </c>
      <c r="H91" s="9">
        <v>38836.79</v>
      </c>
    </row>
    <row r="92" spans="1:8" x14ac:dyDescent="0.2">
      <c r="A92" s="8" t="s">
        <v>789</v>
      </c>
      <c r="B92" s="8" t="s">
        <v>822</v>
      </c>
      <c r="C92" s="8" t="s">
        <v>905</v>
      </c>
      <c r="D92" s="8" t="s">
        <v>731</v>
      </c>
      <c r="E92" s="8" t="s">
        <v>732</v>
      </c>
      <c r="F92" s="8" t="s">
        <v>714</v>
      </c>
      <c r="G92" s="8" t="s">
        <v>907</v>
      </c>
      <c r="H92" s="9">
        <v>48964.53</v>
      </c>
    </row>
    <row r="93" spans="1:8" x14ac:dyDescent="0.2">
      <c r="A93" s="8" t="s">
        <v>789</v>
      </c>
      <c r="B93" s="8" t="s">
        <v>822</v>
      </c>
      <c r="C93" s="8" t="s">
        <v>905</v>
      </c>
      <c r="D93" s="8" t="s">
        <v>908</v>
      </c>
      <c r="E93" s="8" t="s">
        <v>909</v>
      </c>
      <c r="F93" s="8" t="s">
        <v>714</v>
      </c>
      <c r="G93" s="8" t="s">
        <v>907</v>
      </c>
      <c r="H93" s="9">
        <v>54840.25</v>
      </c>
    </row>
    <row r="94" spans="1:8" x14ac:dyDescent="0.2">
      <c r="A94" s="8" t="s">
        <v>789</v>
      </c>
      <c r="B94" s="8" t="s">
        <v>822</v>
      </c>
      <c r="C94" s="8" t="s">
        <v>905</v>
      </c>
      <c r="D94" s="8" t="s">
        <v>903</v>
      </c>
      <c r="E94" s="8" t="s">
        <v>904</v>
      </c>
      <c r="F94" s="8" t="s">
        <v>714</v>
      </c>
      <c r="G94" s="8" t="s">
        <v>907</v>
      </c>
      <c r="H94" s="9">
        <v>5825.52</v>
      </c>
    </row>
    <row r="95" spans="1:8" x14ac:dyDescent="0.2">
      <c r="A95" s="8" t="s">
        <v>789</v>
      </c>
      <c r="B95" s="8" t="s">
        <v>822</v>
      </c>
      <c r="C95" s="8" t="s">
        <v>910</v>
      </c>
      <c r="D95" s="8" t="s">
        <v>781</v>
      </c>
      <c r="E95" s="8" t="s">
        <v>857</v>
      </c>
      <c r="F95" s="8" t="s">
        <v>714</v>
      </c>
      <c r="G95" s="8" t="s">
        <v>907</v>
      </c>
      <c r="H95" s="9">
        <v>141093.52000000002</v>
      </c>
    </row>
    <row r="96" spans="1:8" x14ac:dyDescent="0.2">
      <c r="A96" s="8" t="s">
        <v>789</v>
      </c>
      <c r="B96" s="8" t="s">
        <v>822</v>
      </c>
      <c r="C96" s="8" t="s">
        <v>911</v>
      </c>
      <c r="D96" s="8" t="s">
        <v>750</v>
      </c>
      <c r="E96" s="8" t="s">
        <v>807</v>
      </c>
      <c r="F96" s="8" t="s">
        <v>714</v>
      </c>
      <c r="G96" s="8" t="s">
        <v>907</v>
      </c>
      <c r="H96" s="9">
        <v>85440.95</v>
      </c>
    </row>
    <row r="97" spans="1:8" x14ac:dyDescent="0.2">
      <c r="A97" s="8" t="s">
        <v>789</v>
      </c>
      <c r="B97" s="8" t="s">
        <v>912</v>
      </c>
      <c r="C97" s="8" t="s">
        <v>791</v>
      </c>
      <c r="D97" s="8" t="s">
        <v>726</v>
      </c>
      <c r="E97" s="8" t="s">
        <v>727</v>
      </c>
      <c r="F97" s="8" t="s">
        <v>714</v>
      </c>
      <c r="G97" s="8" t="s">
        <v>913</v>
      </c>
      <c r="H97" s="9">
        <v>3195779.41</v>
      </c>
    </row>
    <row r="98" spans="1:8" x14ac:dyDescent="0.2">
      <c r="A98" s="8" t="s">
        <v>789</v>
      </c>
      <c r="B98" s="8" t="s">
        <v>912</v>
      </c>
      <c r="C98" s="8" t="s">
        <v>791</v>
      </c>
      <c r="D98" s="8" t="s">
        <v>726</v>
      </c>
      <c r="E98" s="8" t="s">
        <v>813</v>
      </c>
      <c r="F98" s="8" t="s">
        <v>714</v>
      </c>
      <c r="G98" s="8" t="s">
        <v>913</v>
      </c>
      <c r="H98" s="9">
        <v>141252.87</v>
      </c>
    </row>
    <row r="99" spans="1:8" x14ac:dyDescent="0.2">
      <c r="A99" s="8" t="s">
        <v>789</v>
      </c>
      <c r="B99" s="8" t="s">
        <v>912</v>
      </c>
      <c r="C99" s="8" t="s">
        <v>914</v>
      </c>
      <c r="D99" s="8" t="s">
        <v>804</v>
      </c>
      <c r="E99" s="8" t="s">
        <v>805</v>
      </c>
      <c r="F99" s="8" t="s">
        <v>714</v>
      </c>
      <c r="G99" s="8" t="s">
        <v>913</v>
      </c>
      <c r="H99" s="9">
        <v>61070.229999999996</v>
      </c>
    </row>
    <row r="100" spans="1:8" x14ac:dyDescent="0.2">
      <c r="A100" s="8" t="s">
        <v>789</v>
      </c>
      <c r="B100" s="8" t="s">
        <v>912</v>
      </c>
      <c r="C100" s="8" t="s">
        <v>915</v>
      </c>
      <c r="D100" s="8" t="s">
        <v>726</v>
      </c>
      <c r="E100" s="8" t="s">
        <v>916</v>
      </c>
      <c r="F100" s="8" t="s">
        <v>714</v>
      </c>
      <c r="G100" s="8" t="s">
        <v>913</v>
      </c>
      <c r="H100" s="9">
        <v>1095187.2100000002</v>
      </c>
    </row>
    <row r="101" spans="1:8" x14ac:dyDescent="0.2">
      <c r="A101" s="8" t="s">
        <v>789</v>
      </c>
      <c r="B101" s="8" t="s">
        <v>912</v>
      </c>
      <c r="C101" s="8" t="s">
        <v>915</v>
      </c>
      <c r="D101" s="8" t="s">
        <v>726</v>
      </c>
      <c r="E101" s="8" t="s">
        <v>917</v>
      </c>
      <c r="F101" s="8" t="s">
        <v>714</v>
      </c>
      <c r="G101" s="8" t="s">
        <v>913</v>
      </c>
      <c r="H101" s="9">
        <v>195609.43</v>
      </c>
    </row>
    <row r="102" spans="1:8" x14ac:dyDescent="0.2">
      <c r="A102" s="8" t="s">
        <v>789</v>
      </c>
      <c r="B102" s="8" t="s">
        <v>912</v>
      </c>
      <c r="C102" s="8" t="s">
        <v>915</v>
      </c>
      <c r="D102" s="8" t="s">
        <v>726</v>
      </c>
      <c r="E102" s="8" t="s">
        <v>727</v>
      </c>
      <c r="F102" s="8" t="s">
        <v>714</v>
      </c>
      <c r="G102" s="8" t="s">
        <v>913</v>
      </c>
      <c r="H102" s="9">
        <v>809212.02</v>
      </c>
    </row>
    <row r="103" spans="1:8" x14ac:dyDescent="0.2">
      <c r="A103" s="8" t="s">
        <v>789</v>
      </c>
      <c r="B103" s="8" t="s">
        <v>912</v>
      </c>
      <c r="C103" s="8" t="s">
        <v>915</v>
      </c>
      <c r="D103" s="8" t="s">
        <v>726</v>
      </c>
      <c r="E103" s="8" t="s">
        <v>813</v>
      </c>
      <c r="F103" s="8" t="s">
        <v>714</v>
      </c>
      <c r="G103" s="8" t="s">
        <v>913</v>
      </c>
      <c r="H103" s="9">
        <v>1148545.98</v>
      </c>
    </row>
    <row r="104" spans="1:8" x14ac:dyDescent="0.2">
      <c r="A104" s="8" t="s">
        <v>789</v>
      </c>
      <c r="B104" s="8" t="s">
        <v>912</v>
      </c>
      <c r="C104" s="8" t="s">
        <v>814</v>
      </c>
      <c r="D104" s="8" t="s">
        <v>726</v>
      </c>
      <c r="E104" s="8" t="s">
        <v>916</v>
      </c>
      <c r="F104" s="8" t="s">
        <v>714</v>
      </c>
      <c r="G104" s="8" t="s">
        <v>913</v>
      </c>
      <c r="H104" s="9">
        <v>29807.59</v>
      </c>
    </row>
    <row r="105" spans="1:8" x14ac:dyDescent="0.2">
      <c r="A105" s="8" t="s">
        <v>789</v>
      </c>
      <c r="B105" s="8" t="s">
        <v>912</v>
      </c>
      <c r="C105" s="8" t="s">
        <v>814</v>
      </c>
      <c r="D105" s="8" t="s">
        <v>726</v>
      </c>
      <c r="E105" s="8" t="s">
        <v>917</v>
      </c>
      <c r="F105" s="8" t="s">
        <v>714</v>
      </c>
      <c r="G105" s="8" t="s">
        <v>913</v>
      </c>
      <c r="H105" s="9">
        <v>29807.63</v>
      </c>
    </row>
    <row r="106" spans="1:8" x14ac:dyDescent="0.2">
      <c r="A106" s="8" t="s">
        <v>789</v>
      </c>
      <c r="B106" s="8" t="s">
        <v>912</v>
      </c>
      <c r="C106" s="8" t="s">
        <v>814</v>
      </c>
      <c r="D106" s="8" t="s">
        <v>726</v>
      </c>
      <c r="E106" s="8" t="s">
        <v>812</v>
      </c>
      <c r="F106" s="8" t="s">
        <v>714</v>
      </c>
      <c r="G106" s="8" t="s">
        <v>913</v>
      </c>
      <c r="H106" s="9">
        <v>117230.47</v>
      </c>
    </row>
    <row r="107" spans="1:8" x14ac:dyDescent="0.2">
      <c r="A107" s="8" t="s">
        <v>789</v>
      </c>
      <c r="B107" s="8" t="s">
        <v>918</v>
      </c>
      <c r="C107" s="8" t="s">
        <v>919</v>
      </c>
      <c r="D107" s="8" t="s">
        <v>850</v>
      </c>
      <c r="E107" s="8" t="s">
        <v>851</v>
      </c>
      <c r="F107" s="8" t="s">
        <v>714</v>
      </c>
      <c r="G107" s="8" t="s">
        <v>920</v>
      </c>
      <c r="H107" s="9">
        <v>2117507.7200000002</v>
      </c>
    </row>
    <row r="108" spans="1:8" x14ac:dyDescent="0.2">
      <c r="A108" s="8" t="s">
        <v>789</v>
      </c>
      <c r="B108" s="8" t="s">
        <v>918</v>
      </c>
      <c r="C108" s="8" t="s">
        <v>921</v>
      </c>
      <c r="D108" s="8" t="s">
        <v>731</v>
      </c>
      <c r="E108" s="8" t="s">
        <v>798</v>
      </c>
      <c r="F108" s="8" t="s">
        <v>714</v>
      </c>
      <c r="G108" s="8" t="s">
        <v>920</v>
      </c>
      <c r="H108" s="9">
        <v>8567199.3599999994</v>
      </c>
    </row>
    <row r="109" spans="1:8" x14ac:dyDescent="0.2">
      <c r="A109" s="8" t="s">
        <v>789</v>
      </c>
      <c r="B109" s="8" t="s">
        <v>918</v>
      </c>
      <c r="C109" s="8" t="s">
        <v>922</v>
      </c>
      <c r="D109" s="8" t="s">
        <v>838</v>
      </c>
      <c r="E109" s="8" t="s">
        <v>839</v>
      </c>
      <c r="F109" s="8" t="s">
        <v>714</v>
      </c>
      <c r="G109" s="8" t="s">
        <v>920</v>
      </c>
      <c r="H109" s="9">
        <v>1732785.5800000003</v>
      </c>
    </row>
    <row r="110" spans="1:8" x14ac:dyDescent="0.2">
      <c r="A110" s="8" t="s">
        <v>789</v>
      </c>
      <c r="B110" s="8" t="s">
        <v>918</v>
      </c>
      <c r="C110" s="8" t="s">
        <v>923</v>
      </c>
      <c r="D110" s="8" t="s">
        <v>841</v>
      </c>
      <c r="E110" s="8" t="s">
        <v>842</v>
      </c>
      <c r="F110" s="8" t="s">
        <v>714</v>
      </c>
      <c r="G110" s="8" t="s">
        <v>920</v>
      </c>
      <c r="H110" s="9">
        <v>38356.080000000002</v>
      </c>
    </row>
    <row r="111" spans="1:8" x14ac:dyDescent="0.2">
      <c r="A111" s="8" t="s">
        <v>789</v>
      </c>
      <c r="B111" s="8" t="s">
        <v>918</v>
      </c>
      <c r="C111" s="8" t="s">
        <v>924</v>
      </c>
      <c r="D111" s="8" t="s">
        <v>903</v>
      </c>
      <c r="E111" s="8" t="s">
        <v>904</v>
      </c>
      <c r="F111" s="8" t="s">
        <v>714</v>
      </c>
      <c r="G111" s="8" t="s">
        <v>920</v>
      </c>
      <c r="H111" s="9">
        <v>611631.13</v>
      </c>
    </row>
    <row r="112" spans="1:8" x14ac:dyDescent="0.2">
      <c r="A112" s="8" t="s">
        <v>789</v>
      </c>
      <c r="B112" s="8" t="s">
        <v>918</v>
      </c>
      <c r="C112" s="8" t="s">
        <v>791</v>
      </c>
      <c r="D112" s="8" t="s">
        <v>885</v>
      </c>
      <c r="E112" s="8" t="s">
        <v>925</v>
      </c>
      <c r="F112" s="8" t="s">
        <v>714</v>
      </c>
      <c r="G112" s="8" t="s">
        <v>913</v>
      </c>
      <c r="H112" s="9">
        <v>47131.19</v>
      </c>
    </row>
    <row r="113" spans="1:8" x14ac:dyDescent="0.2">
      <c r="A113" s="8" t="s">
        <v>789</v>
      </c>
      <c r="B113" s="8" t="s">
        <v>918</v>
      </c>
      <c r="C113" s="8" t="s">
        <v>914</v>
      </c>
      <c r="D113" s="8" t="s">
        <v>804</v>
      </c>
      <c r="E113" s="8" t="s">
        <v>805</v>
      </c>
      <c r="F113" s="8" t="s">
        <v>714</v>
      </c>
      <c r="G113" s="8" t="s">
        <v>913</v>
      </c>
      <c r="H113" s="9">
        <v>11337.09</v>
      </c>
    </row>
    <row r="114" spans="1:8" x14ac:dyDescent="0.2">
      <c r="A114" s="8" t="s">
        <v>789</v>
      </c>
      <c r="B114" s="8" t="s">
        <v>918</v>
      </c>
      <c r="C114" s="8" t="s">
        <v>814</v>
      </c>
      <c r="D114" s="8" t="s">
        <v>726</v>
      </c>
      <c r="E114" s="8" t="s">
        <v>916</v>
      </c>
      <c r="F114" s="8" t="s">
        <v>714</v>
      </c>
      <c r="G114" s="8" t="s">
        <v>913</v>
      </c>
      <c r="H114" s="9">
        <v>4658230.8199999994</v>
      </c>
    </row>
    <row r="115" spans="1:8" x14ac:dyDescent="0.2">
      <c r="A115" s="8" t="s">
        <v>789</v>
      </c>
      <c r="B115" s="8" t="s">
        <v>918</v>
      </c>
      <c r="C115" s="8" t="s">
        <v>814</v>
      </c>
      <c r="D115" s="8" t="s">
        <v>726</v>
      </c>
      <c r="E115" s="8" t="s">
        <v>917</v>
      </c>
      <c r="F115" s="8" t="s">
        <v>714</v>
      </c>
      <c r="G115" s="8" t="s">
        <v>913</v>
      </c>
      <c r="H115" s="9">
        <v>4966109.3400000017</v>
      </c>
    </row>
    <row r="116" spans="1:8" x14ac:dyDescent="0.2">
      <c r="A116" s="8" t="s">
        <v>789</v>
      </c>
      <c r="B116" s="8" t="s">
        <v>918</v>
      </c>
      <c r="C116" s="8" t="s">
        <v>814</v>
      </c>
      <c r="D116" s="8" t="s">
        <v>726</v>
      </c>
      <c r="E116" s="8" t="s">
        <v>727</v>
      </c>
      <c r="F116" s="8" t="s">
        <v>714</v>
      </c>
      <c r="G116" s="8" t="s">
        <v>913</v>
      </c>
      <c r="H116" s="9">
        <v>1441734.7399999998</v>
      </c>
    </row>
    <row r="117" spans="1:8" x14ac:dyDescent="0.2">
      <c r="A117" s="8" t="s">
        <v>789</v>
      </c>
      <c r="B117" s="8" t="s">
        <v>918</v>
      </c>
      <c r="C117" s="8" t="s">
        <v>814</v>
      </c>
      <c r="D117" s="8" t="s">
        <v>726</v>
      </c>
      <c r="E117" s="8" t="s">
        <v>812</v>
      </c>
      <c r="F117" s="8" t="s">
        <v>714</v>
      </c>
      <c r="G117" s="8" t="s">
        <v>913</v>
      </c>
      <c r="H117" s="9">
        <v>595814.17999999993</v>
      </c>
    </row>
    <row r="118" spans="1:8" x14ac:dyDescent="0.2">
      <c r="A118" s="8" t="s">
        <v>789</v>
      </c>
      <c r="B118" s="8" t="s">
        <v>918</v>
      </c>
      <c r="C118" s="8" t="s">
        <v>814</v>
      </c>
      <c r="D118" s="8" t="s">
        <v>726</v>
      </c>
      <c r="E118" s="8" t="s">
        <v>813</v>
      </c>
      <c r="F118" s="8" t="s">
        <v>714</v>
      </c>
      <c r="G118" s="8" t="s">
        <v>913</v>
      </c>
      <c r="H118" s="9">
        <v>581296.24</v>
      </c>
    </row>
    <row r="119" spans="1:8" x14ac:dyDescent="0.2">
      <c r="A119" s="8" t="s">
        <v>789</v>
      </c>
      <c r="B119" s="8" t="s">
        <v>926</v>
      </c>
      <c r="C119" s="8" t="s">
        <v>927</v>
      </c>
      <c r="D119" s="8" t="s">
        <v>726</v>
      </c>
      <c r="E119" s="8" t="s">
        <v>928</v>
      </c>
      <c r="F119" s="8" t="s">
        <v>710</v>
      </c>
      <c r="G119" s="8" t="s">
        <v>711</v>
      </c>
      <c r="H119" s="9">
        <v>41193</v>
      </c>
    </row>
    <row r="120" spans="1:8" x14ac:dyDescent="0.2">
      <c r="A120" s="8" t="s">
        <v>789</v>
      </c>
      <c r="B120" s="8" t="s">
        <v>929</v>
      </c>
      <c r="C120" s="8" t="s">
        <v>930</v>
      </c>
      <c r="D120" s="8" t="s">
        <v>750</v>
      </c>
      <c r="E120" s="8" t="s">
        <v>931</v>
      </c>
      <c r="F120" s="8" t="s">
        <v>710</v>
      </c>
      <c r="G120" s="8" t="s">
        <v>711</v>
      </c>
      <c r="H120" s="9">
        <v>3429.3</v>
      </c>
    </row>
    <row r="121" spans="1:8" x14ac:dyDescent="0.2">
      <c r="A121" s="8" t="s">
        <v>789</v>
      </c>
      <c r="B121" s="8" t="s">
        <v>932</v>
      </c>
      <c r="C121" s="8" t="s">
        <v>933</v>
      </c>
      <c r="D121" s="8" t="s">
        <v>726</v>
      </c>
      <c r="E121" s="8" t="s">
        <v>934</v>
      </c>
      <c r="F121" s="8" t="s">
        <v>714</v>
      </c>
      <c r="G121" s="8" t="s">
        <v>721</v>
      </c>
      <c r="H121" s="9">
        <v>3581569.95</v>
      </c>
    </row>
    <row r="122" spans="1:8" x14ac:dyDescent="0.2">
      <c r="A122" s="8" t="s">
        <v>789</v>
      </c>
      <c r="B122" s="8" t="s">
        <v>932</v>
      </c>
      <c r="C122" s="8" t="s">
        <v>811</v>
      </c>
      <c r="D122" s="8" t="s">
        <v>781</v>
      </c>
      <c r="E122" s="8" t="s">
        <v>809</v>
      </c>
      <c r="F122" s="8" t="s">
        <v>714</v>
      </c>
      <c r="G122" s="8" t="s">
        <v>721</v>
      </c>
      <c r="H122" s="9">
        <v>399787.17</v>
      </c>
    </row>
    <row r="123" spans="1:8" x14ac:dyDescent="0.2">
      <c r="A123" s="8" t="s">
        <v>789</v>
      </c>
      <c r="B123" s="8" t="s">
        <v>932</v>
      </c>
      <c r="C123" s="8" t="s">
        <v>792</v>
      </c>
      <c r="D123" s="8" t="s">
        <v>750</v>
      </c>
      <c r="E123" s="8" t="s">
        <v>935</v>
      </c>
      <c r="F123" s="8" t="s">
        <v>714</v>
      </c>
      <c r="G123" s="8" t="s">
        <v>721</v>
      </c>
      <c r="H123" s="9">
        <v>8138219.6100000003</v>
      </c>
    </row>
    <row r="124" spans="1:8" x14ac:dyDescent="0.2">
      <c r="A124" s="8" t="s">
        <v>789</v>
      </c>
      <c r="B124" s="8" t="s">
        <v>932</v>
      </c>
      <c r="C124" s="8" t="s">
        <v>792</v>
      </c>
      <c r="D124" s="8" t="s">
        <v>750</v>
      </c>
      <c r="E124" s="8" t="s">
        <v>807</v>
      </c>
      <c r="F124" s="8" t="s">
        <v>714</v>
      </c>
      <c r="G124" s="8" t="s">
        <v>721</v>
      </c>
      <c r="H124" s="9">
        <v>12140860.359999999</v>
      </c>
    </row>
    <row r="125" spans="1:8" x14ac:dyDescent="0.2">
      <c r="A125" s="8" t="s">
        <v>789</v>
      </c>
      <c r="B125" s="8" t="s">
        <v>936</v>
      </c>
      <c r="C125" s="8" t="s">
        <v>937</v>
      </c>
      <c r="D125" s="8" t="s">
        <v>750</v>
      </c>
      <c r="E125" s="8" t="s">
        <v>938</v>
      </c>
      <c r="F125" s="8" t="s">
        <v>710</v>
      </c>
      <c r="G125" s="8" t="s">
        <v>711</v>
      </c>
      <c r="H125" s="9">
        <v>62604.810000000005</v>
      </c>
    </row>
    <row r="126" spans="1:8" x14ac:dyDescent="0.2">
      <c r="A126" s="8" t="s">
        <v>789</v>
      </c>
      <c r="B126" s="8" t="s">
        <v>939</v>
      </c>
      <c r="C126" s="8" t="s">
        <v>939</v>
      </c>
      <c r="D126" s="8" t="s">
        <v>859</v>
      </c>
      <c r="E126" s="8" t="s">
        <v>860</v>
      </c>
      <c r="F126" s="8" t="s">
        <v>714</v>
      </c>
      <c r="G126" s="8" t="s">
        <v>788</v>
      </c>
      <c r="H126" s="9">
        <v>5307</v>
      </c>
    </row>
    <row r="127" spans="1:8" x14ac:dyDescent="0.2">
      <c r="A127" s="8" t="s">
        <v>789</v>
      </c>
      <c r="B127" s="8" t="s">
        <v>939</v>
      </c>
      <c r="C127" s="8" t="s">
        <v>939</v>
      </c>
      <c r="D127" s="8" t="s">
        <v>838</v>
      </c>
      <c r="E127" s="8" t="s">
        <v>839</v>
      </c>
      <c r="F127" s="8" t="s">
        <v>714</v>
      </c>
      <c r="G127" s="8" t="s">
        <v>788</v>
      </c>
      <c r="H127" s="9">
        <v>1061</v>
      </c>
    </row>
    <row r="128" spans="1:8" x14ac:dyDescent="0.2">
      <c r="A128" s="8" t="s">
        <v>789</v>
      </c>
      <c r="B128" s="8" t="s">
        <v>939</v>
      </c>
      <c r="C128" s="8" t="s">
        <v>939</v>
      </c>
      <c r="D128" s="8" t="s">
        <v>731</v>
      </c>
      <c r="E128" s="8" t="s">
        <v>940</v>
      </c>
      <c r="F128" s="8" t="s">
        <v>710</v>
      </c>
      <c r="G128" s="8" t="s">
        <v>711</v>
      </c>
      <c r="H128" s="9">
        <v>33732</v>
      </c>
    </row>
    <row r="129" spans="1:8" x14ac:dyDescent="0.2">
      <c r="A129" s="8" t="s">
        <v>789</v>
      </c>
      <c r="B129" s="8" t="s">
        <v>939</v>
      </c>
      <c r="C129" s="8" t="s">
        <v>939</v>
      </c>
      <c r="D129" s="8" t="s">
        <v>850</v>
      </c>
      <c r="E129" s="8" t="s">
        <v>941</v>
      </c>
      <c r="F129" s="8" t="s">
        <v>714</v>
      </c>
      <c r="G129" s="8" t="s">
        <v>788</v>
      </c>
      <c r="H129" s="9">
        <v>84502</v>
      </c>
    </row>
    <row r="130" spans="1:8" x14ac:dyDescent="0.2">
      <c r="A130" s="8" t="s">
        <v>789</v>
      </c>
      <c r="B130" s="8" t="s">
        <v>939</v>
      </c>
      <c r="C130" s="8" t="s">
        <v>939</v>
      </c>
      <c r="D130" s="8" t="s">
        <v>852</v>
      </c>
      <c r="E130" s="8" t="s">
        <v>853</v>
      </c>
      <c r="F130" s="8" t="s">
        <v>714</v>
      </c>
      <c r="G130" s="8" t="s">
        <v>788</v>
      </c>
      <c r="H130" s="9">
        <v>4670</v>
      </c>
    </row>
    <row r="131" spans="1:8" x14ac:dyDescent="0.2">
      <c r="A131" s="8" t="s">
        <v>789</v>
      </c>
      <c r="B131" s="8" t="s">
        <v>939</v>
      </c>
      <c r="C131" s="8" t="s">
        <v>939</v>
      </c>
      <c r="D131" s="8" t="s">
        <v>885</v>
      </c>
      <c r="E131" s="8" t="s">
        <v>886</v>
      </c>
      <c r="F131" s="8" t="s">
        <v>714</v>
      </c>
      <c r="G131" s="8" t="s">
        <v>788</v>
      </c>
      <c r="H131" s="9">
        <v>2441</v>
      </c>
    </row>
    <row r="132" spans="1:8" x14ac:dyDescent="0.2">
      <c r="A132" s="8" t="s">
        <v>789</v>
      </c>
      <c r="B132" s="8" t="s">
        <v>939</v>
      </c>
      <c r="C132" s="8" t="s">
        <v>939</v>
      </c>
      <c r="D132" s="8" t="s">
        <v>734</v>
      </c>
      <c r="E132" s="8" t="s">
        <v>732</v>
      </c>
      <c r="F132" s="8" t="s">
        <v>714</v>
      </c>
      <c r="G132" s="8" t="s">
        <v>788</v>
      </c>
      <c r="H132" s="9">
        <v>11676</v>
      </c>
    </row>
    <row r="133" spans="1:8" x14ac:dyDescent="0.2">
      <c r="A133" s="8" t="s">
        <v>789</v>
      </c>
      <c r="B133" s="8" t="s">
        <v>939</v>
      </c>
      <c r="C133" s="8" t="s">
        <v>939</v>
      </c>
      <c r="D133" s="8" t="s">
        <v>786</v>
      </c>
      <c r="E133" s="8" t="s">
        <v>868</v>
      </c>
      <c r="F133" s="8" t="s">
        <v>714</v>
      </c>
      <c r="G133" s="8" t="s">
        <v>788</v>
      </c>
      <c r="H133" s="9">
        <v>72070</v>
      </c>
    </row>
    <row r="134" spans="1:8" x14ac:dyDescent="0.2">
      <c r="A134" s="8" t="s">
        <v>789</v>
      </c>
      <c r="B134" s="8" t="s">
        <v>939</v>
      </c>
      <c r="C134" s="8" t="s">
        <v>939</v>
      </c>
      <c r="D134" s="8" t="s">
        <v>874</v>
      </c>
      <c r="E134" s="8" t="s">
        <v>942</v>
      </c>
      <c r="F134" s="8" t="s">
        <v>714</v>
      </c>
      <c r="G134" s="8" t="s">
        <v>788</v>
      </c>
      <c r="H134" s="9">
        <v>1061</v>
      </c>
    </row>
    <row r="135" spans="1:8" x14ac:dyDescent="0.2">
      <c r="A135" s="8" t="s">
        <v>789</v>
      </c>
      <c r="B135" s="8" t="s">
        <v>939</v>
      </c>
      <c r="C135" s="8" t="s">
        <v>939</v>
      </c>
      <c r="D135" s="8" t="s">
        <v>750</v>
      </c>
      <c r="E135" s="8" t="s">
        <v>807</v>
      </c>
      <c r="F135" s="8" t="s">
        <v>714</v>
      </c>
      <c r="G135" s="8" t="s">
        <v>721</v>
      </c>
      <c r="H135" s="9">
        <v>676060</v>
      </c>
    </row>
    <row r="136" spans="1:8" x14ac:dyDescent="0.2">
      <c r="A136" s="8" t="s">
        <v>789</v>
      </c>
      <c r="B136" s="8" t="s">
        <v>939</v>
      </c>
      <c r="C136" s="8" t="s">
        <v>939</v>
      </c>
      <c r="D136" s="8" t="s">
        <v>750</v>
      </c>
      <c r="E136" s="8" t="s">
        <v>807</v>
      </c>
      <c r="F136" s="8" t="s">
        <v>714</v>
      </c>
      <c r="G136" s="8" t="s">
        <v>788</v>
      </c>
      <c r="H136" s="9">
        <v>8597</v>
      </c>
    </row>
    <row r="137" spans="1:8" x14ac:dyDescent="0.2">
      <c r="A137" s="8" t="s">
        <v>789</v>
      </c>
      <c r="B137" s="8" t="s">
        <v>939</v>
      </c>
      <c r="C137" s="8" t="s">
        <v>939</v>
      </c>
      <c r="D137" s="8" t="s">
        <v>801</v>
      </c>
      <c r="E137" s="8" t="s">
        <v>943</v>
      </c>
      <c r="F137" s="8" t="s">
        <v>714</v>
      </c>
      <c r="G137" s="8" t="s">
        <v>788</v>
      </c>
      <c r="H137" s="9">
        <v>13161</v>
      </c>
    </row>
    <row r="138" spans="1:8" x14ac:dyDescent="0.2">
      <c r="A138" s="8" t="s">
        <v>789</v>
      </c>
      <c r="B138" s="8" t="s">
        <v>939</v>
      </c>
      <c r="C138" s="8" t="s">
        <v>939</v>
      </c>
      <c r="D138" s="8" t="s">
        <v>903</v>
      </c>
      <c r="E138" s="8" t="s">
        <v>904</v>
      </c>
      <c r="F138" s="8" t="s">
        <v>714</v>
      </c>
      <c r="G138" s="8" t="s">
        <v>788</v>
      </c>
      <c r="H138" s="9">
        <v>3290</v>
      </c>
    </row>
    <row r="139" spans="1:8" x14ac:dyDescent="0.2">
      <c r="A139" s="8" t="s">
        <v>789</v>
      </c>
      <c r="B139" s="8" t="s">
        <v>939</v>
      </c>
      <c r="C139" s="8" t="s">
        <v>939</v>
      </c>
      <c r="D139" s="8" t="s">
        <v>781</v>
      </c>
      <c r="E139" s="8" t="s">
        <v>857</v>
      </c>
      <c r="F139" s="8" t="s">
        <v>714</v>
      </c>
      <c r="G139" s="8" t="s">
        <v>788</v>
      </c>
      <c r="H139" s="9">
        <v>13374</v>
      </c>
    </row>
    <row r="140" spans="1:8" x14ac:dyDescent="0.2">
      <c r="A140" s="8" t="s">
        <v>789</v>
      </c>
      <c r="B140" s="8" t="s">
        <v>939</v>
      </c>
      <c r="C140" s="8" t="s">
        <v>939</v>
      </c>
      <c r="D140" s="8" t="s">
        <v>726</v>
      </c>
      <c r="E140" s="8" t="s">
        <v>871</v>
      </c>
      <c r="F140" s="8" t="s">
        <v>714</v>
      </c>
      <c r="G140" s="8" t="s">
        <v>788</v>
      </c>
      <c r="H140" s="9">
        <v>15603</v>
      </c>
    </row>
    <row r="141" spans="1:8" x14ac:dyDescent="0.2">
      <c r="A141" s="8" t="s">
        <v>789</v>
      </c>
      <c r="B141" s="8" t="s">
        <v>939</v>
      </c>
      <c r="C141" s="8" t="s">
        <v>939</v>
      </c>
      <c r="D141" s="8" t="s">
        <v>726</v>
      </c>
      <c r="E141" s="8" t="s">
        <v>813</v>
      </c>
      <c r="F141" s="8" t="s">
        <v>714</v>
      </c>
      <c r="G141" s="8" t="s">
        <v>799</v>
      </c>
      <c r="H141" s="9">
        <v>2857984</v>
      </c>
    </row>
    <row r="142" spans="1:8" x14ac:dyDescent="0.2">
      <c r="A142" s="8" t="s">
        <v>789</v>
      </c>
      <c r="B142" s="8" t="s">
        <v>939</v>
      </c>
      <c r="C142" s="8" t="s">
        <v>939</v>
      </c>
      <c r="D142" s="8" t="s">
        <v>892</v>
      </c>
      <c r="E142" s="8" t="s">
        <v>893</v>
      </c>
      <c r="F142" s="8" t="s">
        <v>714</v>
      </c>
      <c r="G142" s="8" t="s">
        <v>788</v>
      </c>
      <c r="H142" s="9">
        <v>1061</v>
      </c>
    </row>
    <row r="143" spans="1:8" x14ac:dyDescent="0.2">
      <c r="A143" s="8" t="s">
        <v>789</v>
      </c>
      <c r="B143" s="8" t="s">
        <v>944</v>
      </c>
      <c r="C143" s="8" t="s">
        <v>792</v>
      </c>
      <c r="D143" s="8" t="s">
        <v>750</v>
      </c>
      <c r="E143" s="8" t="s">
        <v>935</v>
      </c>
      <c r="F143" s="8" t="s">
        <v>714</v>
      </c>
      <c r="G143" s="8" t="s">
        <v>721</v>
      </c>
      <c r="H143" s="9">
        <v>673920</v>
      </c>
    </row>
    <row r="144" spans="1:8" x14ac:dyDescent="0.2">
      <c r="A144" s="8" t="s">
        <v>789</v>
      </c>
      <c r="B144" s="8" t="s">
        <v>945</v>
      </c>
      <c r="C144" s="8" t="s">
        <v>816</v>
      </c>
      <c r="D144" s="8" t="s">
        <v>726</v>
      </c>
      <c r="E144" s="8" t="s">
        <v>916</v>
      </c>
      <c r="F144" s="8" t="s">
        <v>714</v>
      </c>
      <c r="G144" s="8" t="s">
        <v>946</v>
      </c>
      <c r="H144" s="9">
        <v>9694301.6400000006</v>
      </c>
    </row>
    <row r="145" spans="1:8" x14ac:dyDescent="0.2">
      <c r="A145" s="8" t="s">
        <v>789</v>
      </c>
      <c r="B145" s="8" t="s">
        <v>945</v>
      </c>
      <c r="C145" s="8" t="s">
        <v>816</v>
      </c>
      <c r="D145" s="8" t="s">
        <v>726</v>
      </c>
      <c r="E145" s="8" t="s">
        <v>817</v>
      </c>
      <c r="F145" s="8" t="s">
        <v>714</v>
      </c>
      <c r="G145" s="8" t="s">
        <v>946</v>
      </c>
      <c r="H145" s="9">
        <v>18264093.359999999</v>
      </c>
    </row>
    <row r="146" spans="1:8" x14ac:dyDescent="0.2">
      <c r="A146" s="8" t="s">
        <v>789</v>
      </c>
      <c r="B146" s="8" t="s">
        <v>945</v>
      </c>
      <c r="C146" s="8" t="s">
        <v>816</v>
      </c>
      <c r="D146" s="8" t="s">
        <v>726</v>
      </c>
      <c r="E146" s="8" t="s">
        <v>947</v>
      </c>
      <c r="F146" s="8" t="s">
        <v>714</v>
      </c>
      <c r="G146" s="8" t="s">
        <v>946</v>
      </c>
      <c r="H146" s="9">
        <v>12367001.01</v>
      </c>
    </row>
    <row r="147" spans="1:8" x14ac:dyDescent="0.2">
      <c r="A147" s="8" t="s">
        <v>789</v>
      </c>
      <c r="B147" s="8" t="s">
        <v>948</v>
      </c>
      <c r="C147" s="8" t="s">
        <v>949</v>
      </c>
      <c r="D147" s="8" t="s">
        <v>726</v>
      </c>
      <c r="E147" s="8" t="s">
        <v>727</v>
      </c>
      <c r="F147" s="8" t="s">
        <v>710</v>
      </c>
      <c r="G147" s="8" t="s">
        <v>711</v>
      </c>
      <c r="H147" s="9">
        <v>8059.5</v>
      </c>
    </row>
    <row r="148" spans="1:8" x14ac:dyDescent="0.2">
      <c r="A148" s="8" t="s">
        <v>789</v>
      </c>
      <c r="B148" s="8" t="s">
        <v>948</v>
      </c>
      <c r="C148" s="8" t="s">
        <v>950</v>
      </c>
      <c r="D148" s="8" t="s">
        <v>726</v>
      </c>
      <c r="E148" s="8" t="s">
        <v>727</v>
      </c>
      <c r="F148" s="8" t="s">
        <v>710</v>
      </c>
      <c r="G148" s="8" t="s">
        <v>711</v>
      </c>
      <c r="H148" s="9">
        <v>6776</v>
      </c>
    </row>
    <row r="149" spans="1:8" x14ac:dyDescent="0.2">
      <c r="A149" s="8" t="s">
        <v>789</v>
      </c>
      <c r="B149" s="8" t="s">
        <v>948</v>
      </c>
      <c r="C149" s="8" t="s">
        <v>951</v>
      </c>
      <c r="D149" s="8" t="s">
        <v>726</v>
      </c>
      <c r="E149" s="8" t="s">
        <v>952</v>
      </c>
      <c r="F149" s="8" t="s">
        <v>710</v>
      </c>
      <c r="G149" s="8" t="s">
        <v>711</v>
      </c>
      <c r="H149" s="9">
        <v>8960</v>
      </c>
    </row>
    <row r="150" spans="1:8" x14ac:dyDescent="0.2">
      <c r="A150" s="8" t="s">
        <v>789</v>
      </c>
      <c r="B150" s="8" t="s">
        <v>948</v>
      </c>
      <c r="C150" s="8" t="s">
        <v>953</v>
      </c>
      <c r="D150" s="8" t="s">
        <v>726</v>
      </c>
      <c r="E150" s="8" t="s">
        <v>727</v>
      </c>
      <c r="F150" s="8" t="s">
        <v>710</v>
      </c>
      <c r="G150" s="8" t="s">
        <v>711</v>
      </c>
      <c r="H150" s="9">
        <v>8780</v>
      </c>
    </row>
    <row r="151" spans="1:8" x14ac:dyDescent="0.2">
      <c r="A151" s="8" t="s">
        <v>789</v>
      </c>
      <c r="B151" s="8" t="s">
        <v>948</v>
      </c>
      <c r="C151" s="8" t="s">
        <v>954</v>
      </c>
      <c r="D151" s="8" t="s">
        <v>781</v>
      </c>
      <c r="E151" s="8" t="s">
        <v>782</v>
      </c>
      <c r="F151" s="8" t="s">
        <v>710</v>
      </c>
      <c r="G151" s="8" t="s">
        <v>711</v>
      </c>
      <c r="H151" s="9">
        <v>5999.84</v>
      </c>
    </row>
    <row r="152" spans="1:8" x14ac:dyDescent="0.2">
      <c r="A152" s="8" t="s">
        <v>789</v>
      </c>
      <c r="B152" s="8" t="s">
        <v>948</v>
      </c>
      <c r="C152" s="8" t="s">
        <v>955</v>
      </c>
      <c r="D152" s="8" t="s">
        <v>750</v>
      </c>
      <c r="E152" s="8" t="s">
        <v>931</v>
      </c>
      <c r="F152" s="8" t="s">
        <v>710</v>
      </c>
      <c r="G152" s="8" t="s">
        <v>711</v>
      </c>
      <c r="H152" s="9">
        <v>6142.5</v>
      </c>
    </row>
    <row r="153" spans="1:8" x14ac:dyDescent="0.2">
      <c r="A153" s="8" t="s">
        <v>789</v>
      </c>
      <c r="B153" s="8" t="s">
        <v>956</v>
      </c>
      <c r="C153" s="8" t="s">
        <v>791</v>
      </c>
      <c r="D153" s="8" t="s">
        <v>804</v>
      </c>
      <c r="E153" s="8" t="s">
        <v>805</v>
      </c>
      <c r="F153" s="8" t="s">
        <v>710</v>
      </c>
      <c r="G153" s="8" t="s">
        <v>711</v>
      </c>
      <c r="H153" s="9">
        <v>42514.63</v>
      </c>
    </row>
    <row r="154" spans="1:8" x14ac:dyDescent="0.2">
      <c r="A154" s="8" t="s">
        <v>789</v>
      </c>
      <c r="B154" s="8" t="s">
        <v>956</v>
      </c>
      <c r="C154" s="8" t="s">
        <v>957</v>
      </c>
      <c r="D154" s="8" t="s">
        <v>781</v>
      </c>
      <c r="E154" s="8" t="s">
        <v>958</v>
      </c>
      <c r="F154" s="8" t="s">
        <v>710</v>
      </c>
      <c r="G154" s="8" t="s">
        <v>711</v>
      </c>
      <c r="H154" s="9">
        <v>17441.16</v>
      </c>
    </row>
    <row r="155" spans="1:8" x14ac:dyDescent="0.2">
      <c r="A155" s="8" t="s">
        <v>789</v>
      </c>
      <c r="B155" s="8" t="s">
        <v>959</v>
      </c>
      <c r="C155" s="8" t="s">
        <v>791</v>
      </c>
      <c r="D155" s="8" t="s">
        <v>726</v>
      </c>
      <c r="E155" s="8" t="s">
        <v>727</v>
      </c>
      <c r="F155" s="8" t="s">
        <v>710</v>
      </c>
      <c r="G155" s="8" t="s">
        <v>711</v>
      </c>
      <c r="H155" s="9">
        <v>13600.36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74712-A68D-4458-86D7-59CD8AA56925}">
  <dimension ref="A3:C47"/>
  <sheetViews>
    <sheetView topLeftCell="F1" workbookViewId="0">
      <selection activeCell="S31" sqref="S31"/>
    </sheetView>
  </sheetViews>
  <sheetFormatPr baseColWidth="10" defaultColWidth="8.83203125" defaultRowHeight="15" x14ac:dyDescent="0.2"/>
  <cols>
    <col min="1" max="1" width="26.5" bestFit="1" customWidth="1"/>
    <col min="2" max="2" width="52.33203125" bestFit="1" customWidth="1"/>
    <col min="3" max="3" width="12.83203125" bestFit="1" customWidth="1"/>
  </cols>
  <sheetData>
    <row r="3" spans="1:3" x14ac:dyDescent="0.2">
      <c r="A3" s="10" t="s">
        <v>697</v>
      </c>
      <c r="B3" s="10" t="s">
        <v>698</v>
      </c>
      <c r="C3" t="s">
        <v>960</v>
      </c>
    </row>
    <row r="4" spans="1:3" x14ac:dyDescent="0.2">
      <c r="A4" t="s">
        <v>705</v>
      </c>
      <c r="B4" t="s">
        <v>706</v>
      </c>
      <c r="C4" s="5">
        <v>3029100</v>
      </c>
    </row>
    <row r="5" spans="1:3" x14ac:dyDescent="0.2">
      <c r="B5" t="s">
        <v>712</v>
      </c>
      <c r="C5" s="5">
        <v>3029100</v>
      </c>
    </row>
    <row r="6" spans="1:3" x14ac:dyDescent="0.2">
      <c r="A6" t="s">
        <v>961</v>
      </c>
      <c r="C6" s="5">
        <v>6058200</v>
      </c>
    </row>
    <row r="7" spans="1:3" x14ac:dyDescent="0.2">
      <c r="A7" t="s">
        <v>716</v>
      </c>
      <c r="B7" t="s">
        <v>717</v>
      </c>
      <c r="C7" s="5">
        <v>6067099.0600000005</v>
      </c>
    </row>
    <row r="8" spans="1:3" x14ac:dyDescent="0.2">
      <c r="A8" t="s">
        <v>962</v>
      </c>
      <c r="C8" s="5">
        <v>6067099.0600000005</v>
      </c>
    </row>
    <row r="9" spans="1:3" x14ac:dyDescent="0.2">
      <c r="A9" t="s">
        <v>723</v>
      </c>
      <c r="B9" t="s">
        <v>724</v>
      </c>
      <c r="C9" s="5">
        <v>2116650.56</v>
      </c>
    </row>
    <row r="10" spans="1:3" x14ac:dyDescent="0.2">
      <c r="A10" t="s">
        <v>963</v>
      </c>
      <c r="C10" s="5">
        <v>2116650.56</v>
      </c>
    </row>
    <row r="11" spans="1:3" x14ac:dyDescent="0.2">
      <c r="A11" t="s">
        <v>728</v>
      </c>
      <c r="B11" t="s">
        <v>729</v>
      </c>
      <c r="C11" s="5">
        <v>13663858.27</v>
      </c>
    </row>
    <row r="12" spans="1:3" x14ac:dyDescent="0.2">
      <c r="A12" t="s">
        <v>964</v>
      </c>
      <c r="C12" s="5">
        <v>13663858.27</v>
      </c>
    </row>
    <row r="13" spans="1:3" x14ac:dyDescent="0.2">
      <c r="A13" t="s">
        <v>735</v>
      </c>
      <c r="B13" t="s">
        <v>736</v>
      </c>
      <c r="C13" s="5">
        <v>3459269.3099999996</v>
      </c>
    </row>
    <row r="14" spans="1:3" x14ac:dyDescent="0.2">
      <c r="A14" t="s">
        <v>965</v>
      </c>
      <c r="C14" s="5">
        <v>3459269.3099999996</v>
      </c>
    </row>
    <row r="15" spans="1:3" x14ac:dyDescent="0.2">
      <c r="A15" t="s">
        <v>742</v>
      </c>
      <c r="B15" t="s">
        <v>743</v>
      </c>
      <c r="C15" s="5">
        <v>91168</v>
      </c>
    </row>
    <row r="16" spans="1:3" x14ac:dyDescent="0.2">
      <c r="B16" t="s">
        <v>748</v>
      </c>
      <c r="C16" s="5">
        <v>409027.63000000006</v>
      </c>
    </row>
    <row r="17" spans="1:3" x14ac:dyDescent="0.2">
      <c r="B17" t="s">
        <v>752</v>
      </c>
      <c r="C17" s="5">
        <v>141195.28</v>
      </c>
    </row>
    <row r="18" spans="1:3" x14ac:dyDescent="0.2">
      <c r="A18" t="s">
        <v>966</v>
      </c>
      <c r="C18" s="5">
        <v>641390.91</v>
      </c>
    </row>
    <row r="19" spans="1:3" x14ac:dyDescent="0.2">
      <c r="A19" t="s">
        <v>756</v>
      </c>
      <c r="B19" t="s">
        <v>757</v>
      </c>
      <c r="C19" s="5">
        <v>336924.66</v>
      </c>
    </row>
    <row r="20" spans="1:3" x14ac:dyDescent="0.2">
      <c r="B20" t="s">
        <v>762</v>
      </c>
      <c r="C20" s="5">
        <v>5947374.4000000004</v>
      </c>
    </row>
    <row r="21" spans="1:3" x14ac:dyDescent="0.2">
      <c r="B21" t="s">
        <v>767</v>
      </c>
      <c r="C21" s="5">
        <v>221619.82</v>
      </c>
    </row>
    <row r="22" spans="1:3" x14ac:dyDescent="0.2">
      <c r="B22" t="s">
        <v>771</v>
      </c>
      <c r="C22" s="5">
        <v>2433735.64</v>
      </c>
    </row>
    <row r="23" spans="1:3" x14ac:dyDescent="0.2">
      <c r="A23" t="s">
        <v>967</v>
      </c>
      <c r="C23" s="5">
        <v>8939654.5200000014</v>
      </c>
    </row>
    <row r="24" spans="1:3" x14ac:dyDescent="0.2">
      <c r="A24" t="s">
        <v>774</v>
      </c>
      <c r="B24" t="s">
        <v>775</v>
      </c>
      <c r="C24" s="5">
        <v>42240.06</v>
      </c>
    </row>
    <row r="25" spans="1:3" x14ac:dyDescent="0.2">
      <c r="B25" t="s">
        <v>779</v>
      </c>
      <c r="C25" s="5">
        <v>749071.10000000009</v>
      </c>
    </row>
    <row r="26" spans="1:3" x14ac:dyDescent="0.2">
      <c r="A26" t="s">
        <v>968</v>
      </c>
      <c r="C26" s="5">
        <v>791311.16000000015</v>
      </c>
    </row>
    <row r="27" spans="1:3" x14ac:dyDescent="0.2">
      <c r="A27" t="s">
        <v>783</v>
      </c>
      <c r="B27" t="s">
        <v>784</v>
      </c>
      <c r="C27" s="5">
        <v>4925375.0100000007</v>
      </c>
    </row>
    <row r="28" spans="1:3" x14ac:dyDescent="0.2">
      <c r="A28" t="s">
        <v>969</v>
      </c>
      <c r="C28" s="5">
        <v>4925375.0100000007</v>
      </c>
    </row>
    <row r="29" spans="1:3" x14ac:dyDescent="0.2">
      <c r="A29" t="s">
        <v>789</v>
      </c>
      <c r="B29" t="s">
        <v>790</v>
      </c>
      <c r="C29" s="5">
        <v>18431.79</v>
      </c>
    </row>
    <row r="30" spans="1:3" x14ac:dyDescent="0.2">
      <c r="B30" t="s">
        <v>794</v>
      </c>
      <c r="C30" s="5">
        <v>442119</v>
      </c>
    </row>
    <row r="31" spans="1:3" x14ac:dyDescent="0.2">
      <c r="B31" t="s">
        <v>796</v>
      </c>
      <c r="C31" s="5">
        <v>46428525.670000002</v>
      </c>
    </row>
    <row r="32" spans="1:3" x14ac:dyDescent="0.2">
      <c r="B32" t="s">
        <v>815</v>
      </c>
      <c r="C32" s="5">
        <v>10802639.23</v>
      </c>
    </row>
    <row r="33" spans="1:3" x14ac:dyDescent="0.2">
      <c r="B33" t="s">
        <v>822</v>
      </c>
      <c r="C33" s="5">
        <v>48464405.699999996</v>
      </c>
    </row>
    <row r="34" spans="1:3" x14ac:dyDescent="0.2">
      <c r="B34" t="s">
        <v>912</v>
      </c>
      <c r="C34" s="5">
        <v>6823502.8399999999</v>
      </c>
    </row>
    <row r="35" spans="1:3" x14ac:dyDescent="0.2">
      <c r="B35" t="s">
        <v>918</v>
      </c>
      <c r="C35" s="5">
        <v>25369133.469999999</v>
      </c>
    </row>
    <row r="36" spans="1:3" x14ac:dyDescent="0.2">
      <c r="B36" t="s">
        <v>926</v>
      </c>
      <c r="C36" s="5">
        <v>41193</v>
      </c>
    </row>
    <row r="37" spans="1:3" x14ac:dyDescent="0.2">
      <c r="B37" t="s">
        <v>929</v>
      </c>
      <c r="C37" s="5">
        <v>3429.3</v>
      </c>
    </row>
    <row r="38" spans="1:3" x14ac:dyDescent="0.2">
      <c r="B38" t="s">
        <v>932</v>
      </c>
      <c r="C38" s="5">
        <v>24260437.09</v>
      </c>
    </row>
    <row r="39" spans="1:3" x14ac:dyDescent="0.2">
      <c r="B39" t="s">
        <v>936</v>
      </c>
      <c r="C39" s="5">
        <v>62604.810000000005</v>
      </c>
    </row>
    <row r="40" spans="1:3" x14ac:dyDescent="0.2">
      <c r="B40" t="s">
        <v>939</v>
      </c>
      <c r="C40" s="5">
        <v>3805650</v>
      </c>
    </row>
    <row r="41" spans="1:3" x14ac:dyDescent="0.2">
      <c r="B41" t="s">
        <v>944</v>
      </c>
      <c r="C41" s="5">
        <v>673920</v>
      </c>
    </row>
    <row r="42" spans="1:3" x14ac:dyDescent="0.2">
      <c r="B42" t="s">
        <v>945</v>
      </c>
      <c r="C42" s="5">
        <v>40325396.009999998</v>
      </c>
    </row>
    <row r="43" spans="1:3" x14ac:dyDescent="0.2">
      <c r="B43" t="s">
        <v>948</v>
      </c>
      <c r="C43" s="5">
        <v>44717.84</v>
      </c>
    </row>
    <row r="44" spans="1:3" x14ac:dyDescent="0.2">
      <c r="B44" t="s">
        <v>956</v>
      </c>
      <c r="C44" s="5">
        <v>59955.789999999994</v>
      </c>
    </row>
    <row r="45" spans="1:3" x14ac:dyDescent="0.2">
      <c r="B45" t="s">
        <v>959</v>
      </c>
      <c r="C45" s="5">
        <v>13600.36</v>
      </c>
    </row>
    <row r="46" spans="1:3" x14ac:dyDescent="0.2">
      <c r="A46" t="s">
        <v>970</v>
      </c>
      <c r="C46" s="5">
        <v>207639661.90000001</v>
      </c>
    </row>
    <row r="47" spans="1:3" x14ac:dyDescent="0.2">
      <c r="A47" t="s">
        <v>971</v>
      </c>
      <c r="C47" s="5">
        <v>254302470.70000002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957FC-4412-4894-942D-E571DD819165}">
  <dimension ref="A1:AD10"/>
  <sheetViews>
    <sheetView showGridLines="0" tabSelected="1" zoomScale="190" workbookViewId="0">
      <selection activeCell="AB2" sqref="AB2"/>
    </sheetView>
  </sheetViews>
  <sheetFormatPr baseColWidth="10" defaultColWidth="8.83203125" defaultRowHeight="15" x14ac:dyDescent="0.2"/>
  <cols>
    <col min="1" max="3" width="19.6640625" customWidth="1"/>
    <col min="4" max="4" width="11.5" customWidth="1"/>
    <col min="9" max="9" width="9.5" customWidth="1"/>
    <col min="15" max="16" width="10.33203125" bestFit="1" customWidth="1"/>
  </cols>
  <sheetData>
    <row r="1" spans="1:30" x14ac:dyDescent="0.2">
      <c r="A1" s="40" t="s">
        <v>972</v>
      </c>
      <c r="B1" s="41" t="s">
        <v>973</v>
      </c>
      <c r="C1" s="41" t="s">
        <v>974</v>
      </c>
      <c r="D1" s="41" t="s">
        <v>975</v>
      </c>
      <c r="E1" s="42" t="s">
        <v>976</v>
      </c>
      <c r="F1" s="42" t="s">
        <v>977</v>
      </c>
      <c r="G1" s="43" t="s">
        <v>51</v>
      </c>
      <c r="H1" s="44" t="s">
        <v>83</v>
      </c>
      <c r="I1" s="45" t="s">
        <v>978</v>
      </c>
      <c r="J1" s="56" t="s">
        <v>979</v>
      </c>
      <c r="K1" s="58">
        <v>46147</v>
      </c>
      <c r="L1" s="57">
        <v>46178</v>
      </c>
      <c r="M1" s="66">
        <v>46208</v>
      </c>
      <c r="N1" s="66">
        <v>46239</v>
      </c>
      <c r="O1" s="66">
        <v>46331</v>
      </c>
      <c r="P1" s="66">
        <v>46361</v>
      </c>
      <c r="Q1" s="66" t="s">
        <v>980</v>
      </c>
      <c r="R1" s="66" t="s">
        <v>981</v>
      </c>
      <c r="S1" s="66" t="s">
        <v>982</v>
      </c>
      <c r="T1" s="66" t="s">
        <v>983</v>
      </c>
      <c r="U1" s="66" t="s">
        <v>984</v>
      </c>
      <c r="V1" s="66" t="s">
        <v>985</v>
      </c>
      <c r="W1" s="66" t="s">
        <v>986</v>
      </c>
      <c r="X1" s="66" t="s">
        <v>987</v>
      </c>
      <c r="Y1" s="66" t="s">
        <v>988</v>
      </c>
      <c r="Z1" s="66" t="s">
        <v>989</v>
      </c>
      <c r="AA1" s="66" t="s">
        <v>990</v>
      </c>
      <c r="AB1" s="66"/>
      <c r="AC1" s="66" t="s">
        <v>991</v>
      </c>
      <c r="AD1" s="66" t="s">
        <v>992</v>
      </c>
    </row>
    <row r="2" spans="1:30" x14ac:dyDescent="0.2">
      <c r="A2" s="46" t="s">
        <v>993</v>
      </c>
      <c r="B2" s="81" t="s">
        <v>994</v>
      </c>
      <c r="C2" s="82"/>
      <c r="D2" s="47">
        <v>6</v>
      </c>
      <c r="E2" s="48">
        <v>6</v>
      </c>
      <c r="F2" s="21">
        <v>5</v>
      </c>
      <c r="G2" s="48">
        <v>10</v>
      </c>
      <c r="H2" s="21">
        <v>7</v>
      </c>
      <c r="I2" s="48">
        <v>4</v>
      </c>
      <c r="J2" s="75" t="s">
        <v>995</v>
      </c>
      <c r="K2" s="76"/>
      <c r="L2" s="64">
        <v>7</v>
      </c>
      <c r="M2" s="65">
        <v>5</v>
      </c>
      <c r="N2" s="75" t="s">
        <v>996</v>
      </c>
      <c r="O2" s="87"/>
      <c r="P2" s="76" t="s">
        <v>997</v>
      </c>
      <c r="Q2" s="72" t="s">
        <v>998</v>
      </c>
      <c r="R2" s="65">
        <v>7</v>
      </c>
      <c r="S2" s="8"/>
      <c r="T2" s="8">
        <v>9</v>
      </c>
      <c r="U2" s="71" t="s">
        <v>999</v>
      </c>
      <c r="V2" s="71"/>
      <c r="Z2">
        <v>10</v>
      </c>
    </row>
    <row r="3" spans="1:30" x14ac:dyDescent="0.2">
      <c r="A3" s="46" t="s">
        <v>1000</v>
      </c>
      <c r="B3" s="83"/>
      <c r="C3" s="84"/>
      <c r="D3" s="49" t="s">
        <v>1001</v>
      </c>
      <c r="E3" s="48">
        <v>5</v>
      </c>
      <c r="F3" s="21">
        <v>5</v>
      </c>
      <c r="G3" s="48">
        <v>8</v>
      </c>
      <c r="H3" s="21">
        <v>3</v>
      </c>
      <c r="I3" s="48">
        <v>0</v>
      </c>
      <c r="J3" s="77"/>
      <c r="K3" s="78"/>
      <c r="L3" s="65">
        <v>5</v>
      </c>
      <c r="M3" s="65">
        <v>2</v>
      </c>
      <c r="N3" s="77"/>
      <c r="O3" s="88"/>
      <c r="P3" s="78"/>
      <c r="Q3" s="73"/>
      <c r="R3" s="65">
        <v>6</v>
      </c>
      <c r="S3" s="8"/>
      <c r="T3" s="8">
        <v>6</v>
      </c>
      <c r="U3" s="71"/>
      <c r="V3" s="71"/>
      <c r="Z3">
        <v>8</v>
      </c>
    </row>
    <row r="4" spans="1:30" x14ac:dyDescent="0.2">
      <c r="A4" s="46" t="s">
        <v>1002</v>
      </c>
      <c r="B4" s="83"/>
      <c r="C4" s="84"/>
      <c r="D4" s="49">
        <v>3</v>
      </c>
      <c r="E4" s="48">
        <v>2</v>
      </c>
      <c r="F4" s="21">
        <v>2</v>
      </c>
      <c r="G4" s="48">
        <v>1</v>
      </c>
      <c r="H4" s="21">
        <v>2</v>
      </c>
      <c r="I4" s="48">
        <v>0</v>
      </c>
      <c r="J4" s="77"/>
      <c r="K4" s="78"/>
      <c r="L4" s="65">
        <v>2</v>
      </c>
      <c r="M4" s="65">
        <v>0</v>
      </c>
      <c r="N4" s="77"/>
      <c r="O4" s="88"/>
      <c r="P4" s="78"/>
      <c r="Q4" s="73"/>
      <c r="R4" s="65">
        <v>3</v>
      </c>
      <c r="S4" s="8"/>
      <c r="T4" s="8">
        <v>0</v>
      </c>
      <c r="U4" s="71"/>
      <c r="V4" s="71"/>
      <c r="Z4">
        <v>1</v>
      </c>
    </row>
    <row r="5" spans="1:30" x14ac:dyDescent="0.2">
      <c r="A5" s="50" t="s">
        <v>1003</v>
      </c>
      <c r="B5" s="83"/>
      <c r="C5" s="84"/>
      <c r="D5" s="51">
        <v>0</v>
      </c>
      <c r="E5" s="48">
        <v>1</v>
      </c>
      <c r="F5" s="21">
        <v>1</v>
      </c>
      <c r="G5" s="48">
        <v>0</v>
      </c>
      <c r="H5" s="21">
        <v>0</v>
      </c>
      <c r="I5" s="48">
        <v>0</v>
      </c>
      <c r="J5" s="77"/>
      <c r="K5" s="78"/>
      <c r="L5" s="65">
        <v>0</v>
      </c>
      <c r="M5" s="65">
        <v>0</v>
      </c>
      <c r="N5" s="77"/>
      <c r="O5" s="88"/>
      <c r="P5" s="78"/>
      <c r="Q5" s="73"/>
      <c r="R5" s="65">
        <v>0</v>
      </c>
      <c r="S5" s="8"/>
      <c r="T5" s="8">
        <v>0</v>
      </c>
      <c r="U5" s="71"/>
      <c r="V5" s="71"/>
      <c r="Z5">
        <v>6</v>
      </c>
    </row>
    <row r="6" spans="1:30" x14ac:dyDescent="0.2">
      <c r="A6" s="52" t="s">
        <v>1004</v>
      </c>
      <c r="B6" s="85"/>
      <c r="C6" s="86"/>
      <c r="D6" s="48"/>
      <c r="E6" s="48">
        <v>4</v>
      </c>
      <c r="F6" s="21">
        <v>3</v>
      </c>
      <c r="G6" s="48">
        <v>5</v>
      </c>
      <c r="H6" s="21">
        <v>5</v>
      </c>
      <c r="I6" s="48">
        <v>4</v>
      </c>
      <c r="J6" s="79"/>
      <c r="K6" s="80"/>
      <c r="L6" s="65">
        <v>5</v>
      </c>
      <c r="M6" s="65">
        <v>2</v>
      </c>
      <c r="N6" s="67"/>
      <c r="O6" s="68"/>
      <c r="P6" s="80"/>
      <c r="Q6" s="74"/>
      <c r="R6" s="65">
        <v>3</v>
      </c>
      <c r="S6" s="8"/>
      <c r="T6" s="8">
        <v>0</v>
      </c>
      <c r="U6" s="71"/>
      <c r="V6" s="71"/>
      <c r="Z6">
        <v>0</v>
      </c>
    </row>
    <row r="7" spans="1:30" x14ac:dyDescent="0.2">
      <c r="A7" s="53" t="s">
        <v>1005</v>
      </c>
      <c r="B7" s="53"/>
      <c r="C7" s="53"/>
      <c r="D7" s="59">
        <f>SUM(D2:L2)</f>
        <v>45</v>
      </c>
      <c r="E7" s="1"/>
      <c r="F7" s="1"/>
      <c r="G7" s="1"/>
      <c r="H7" s="1"/>
      <c r="I7" s="1"/>
    </row>
    <row r="8" spans="1:30" x14ac:dyDescent="0.2">
      <c r="A8" s="54" t="s">
        <v>1006</v>
      </c>
      <c r="B8" s="54"/>
      <c r="C8" s="54"/>
      <c r="D8" s="54">
        <f>SUM(D5:I5)</f>
        <v>2</v>
      </c>
      <c r="E8" s="1"/>
      <c r="F8" s="1"/>
      <c r="G8" s="1"/>
      <c r="H8" s="1"/>
      <c r="I8" s="1"/>
    </row>
    <row r="9" spans="1:30" x14ac:dyDescent="0.2">
      <c r="A9" s="1" t="s">
        <v>1007</v>
      </c>
      <c r="B9" s="1"/>
      <c r="C9" s="1"/>
      <c r="D9" s="1">
        <v>12</v>
      </c>
      <c r="E9" s="55">
        <f>D9/D7</f>
        <v>0.26666666666666666</v>
      </c>
      <c r="F9" s="1"/>
      <c r="G9" s="1"/>
      <c r="H9" s="1"/>
      <c r="I9" s="1"/>
    </row>
    <row r="10" spans="1:30" x14ac:dyDescent="0.2">
      <c r="A10" s="1" t="s">
        <v>1008</v>
      </c>
      <c r="B10" s="1"/>
      <c r="C10" s="1"/>
      <c r="D10" s="1">
        <v>26</v>
      </c>
      <c r="E10" s="1"/>
      <c r="F10" s="1"/>
      <c r="G10" s="1"/>
      <c r="H10" s="1"/>
      <c r="I10" s="1"/>
    </row>
  </sheetData>
  <mergeCells count="6">
    <mergeCell ref="U2:V6"/>
    <mergeCell ref="Q2:Q6"/>
    <mergeCell ref="J2:K6"/>
    <mergeCell ref="B2:C6"/>
    <mergeCell ref="N2:O5"/>
    <mergeCell ref="P2:P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210B-EDA3-4E73-94DE-8B02C263AC5E}">
  <dimension ref="B1:E17"/>
  <sheetViews>
    <sheetView showGridLines="0" workbookViewId="0">
      <selection activeCell="E3" sqref="E3"/>
    </sheetView>
  </sheetViews>
  <sheetFormatPr baseColWidth="10" defaultColWidth="8.83203125" defaultRowHeight="15" x14ac:dyDescent="0.2"/>
  <cols>
    <col min="1" max="1" width="1.83203125" customWidth="1"/>
    <col min="2" max="2" width="9.1640625" style="25"/>
    <col min="3" max="3" width="26.5" customWidth="1"/>
    <col min="4" max="4" width="81.5" customWidth="1"/>
    <col min="5" max="5" width="51.6640625" customWidth="1"/>
  </cols>
  <sheetData>
    <row r="1" spans="2:5" x14ac:dyDescent="0.2">
      <c r="B1"/>
    </row>
    <row r="2" spans="2:5" x14ac:dyDescent="0.2">
      <c r="B2" s="26" t="s">
        <v>0</v>
      </c>
      <c r="C2" s="26" t="s">
        <v>1009</v>
      </c>
      <c r="D2" s="27" t="s">
        <v>1010</v>
      </c>
      <c r="E2" s="27" t="s">
        <v>1011</v>
      </c>
    </row>
    <row r="3" spans="2:5" ht="16" x14ac:dyDescent="0.2">
      <c r="B3" s="28">
        <v>1</v>
      </c>
      <c r="C3" s="16" t="s">
        <v>84</v>
      </c>
      <c r="D3" s="29" t="s">
        <v>1012</v>
      </c>
      <c r="E3" s="39" t="s">
        <v>1013</v>
      </c>
    </row>
    <row r="4" spans="2:5" ht="16" x14ac:dyDescent="0.2">
      <c r="B4" s="28">
        <v>2</v>
      </c>
      <c r="C4" s="16" t="s">
        <v>100</v>
      </c>
      <c r="D4" s="29" t="s">
        <v>1012</v>
      </c>
      <c r="E4" s="39" t="s">
        <v>1014</v>
      </c>
    </row>
    <row r="5" spans="2:5" ht="16" x14ac:dyDescent="0.2">
      <c r="B5" s="28">
        <v>3</v>
      </c>
      <c r="C5" s="16" t="s">
        <v>146</v>
      </c>
      <c r="D5" s="29" t="s">
        <v>1012</v>
      </c>
      <c r="E5" s="39" t="s">
        <v>1014</v>
      </c>
    </row>
    <row r="6" spans="2:5" ht="16" x14ac:dyDescent="0.2">
      <c r="B6" s="28">
        <v>4</v>
      </c>
      <c r="C6" s="16" t="s">
        <v>161</v>
      </c>
      <c r="D6" s="29" t="s">
        <v>1015</v>
      </c>
      <c r="E6" s="39" t="s">
        <v>1016</v>
      </c>
    </row>
    <row r="7" spans="2:5" ht="20.25" customHeight="1" x14ac:dyDescent="0.2">
      <c r="B7" s="28">
        <v>5</v>
      </c>
      <c r="C7" s="16" t="s">
        <v>205</v>
      </c>
      <c r="D7" s="29" t="s">
        <v>1017</v>
      </c>
      <c r="E7" s="39" t="s">
        <v>1018</v>
      </c>
    </row>
    <row r="8" spans="2:5" ht="16" x14ac:dyDescent="0.2">
      <c r="B8" s="28">
        <v>6</v>
      </c>
      <c r="C8" s="16" t="s">
        <v>230</v>
      </c>
      <c r="D8" s="29" t="s">
        <v>1019</v>
      </c>
      <c r="E8" s="39" t="s">
        <v>1013</v>
      </c>
    </row>
    <row r="9" spans="2:5" ht="32" x14ac:dyDescent="0.2">
      <c r="B9" s="28">
        <v>7</v>
      </c>
      <c r="C9" s="8" t="s">
        <v>240</v>
      </c>
      <c r="D9" s="29" t="s">
        <v>1020</v>
      </c>
      <c r="E9" s="39" t="s">
        <v>1021</v>
      </c>
    </row>
    <row r="10" spans="2:5" ht="32" x14ac:dyDescent="0.2">
      <c r="B10" s="28">
        <v>8</v>
      </c>
      <c r="C10" s="16" t="s">
        <v>263</v>
      </c>
      <c r="D10" s="30" t="s">
        <v>1020</v>
      </c>
      <c r="E10" s="39" t="s">
        <v>1021</v>
      </c>
    </row>
    <row r="11" spans="2:5" ht="32" x14ac:dyDescent="0.2">
      <c r="B11" s="28">
        <v>9</v>
      </c>
      <c r="C11" s="16" t="s">
        <v>277</v>
      </c>
      <c r="D11" s="30" t="s">
        <v>1020</v>
      </c>
      <c r="E11" s="39" t="s">
        <v>1021</v>
      </c>
    </row>
    <row r="12" spans="2:5" ht="32" x14ac:dyDescent="0.2">
      <c r="B12" s="28">
        <v>10</v>
      </c>
      <c r="C12" s="16" t="s">
        <v>287</v>
      </c>
      <c r="D12" s="30" t="s">
        <v>1020</v>
      </c>
      <c r="E12" s="39" t="s">
        <v>1021</v>
      </c>
    </row>
    <row r="13" spans="2:5" ht="32" x14ac:dyDescent="0.2">
      <c r="B13" s="28">
        <v>11</v>
      </c>
      <c r="C13" s="16" t="s">
        <v>298</v>
      </c>
      <c r="D13" s="30" t="s">
        <v>1020</v>
      </c>
      <c r="E13" s="39" t="s">
        <v>1021</v>
      </c>
    </row>
    <row r="14" spans="2:5" ht="32" x14ac:dyDescent="0.2">
      <c r="B14" s="28">
        <v>12</v>
      </c>
      <c r="C14" s="16" t="s">
        <v>357</v>
      </c>
      <c r="D14" s="30" t="s">
        <v>1020</v>
      </c>
      <c r="E14" s="39" t="s">
        <v>1021</v>
      </c>
    </row>
    <row r="15" spans="2:5" ht="32" x14ac:dyDescent="0.2">
      <c r="B15" s="28">
        <v>13</v>
      </c>
      <c r="C15" s="16" t="s">
        <v>346</v>
      </c>
      <c r="D15" s="30" t="s">
        <v>1020</v>
      </c>
      <c r="E15" s="39" t="s">
        <v>1021</v>
      </c>
    </row>
    <row r="16" spans="2:5" ht="32" x14ac:dyDescent="0.2">
      <c r="B16" s="28">
        <v>14</v>
      </c>
      <c r="C16" t="s">
        <v>334</v>
      </c>
      <c r="D16" s="30" t="s">
        <v>1020</v>
      </c>
      <c r="E16" s="39" t="s">
        <v>1021</v>
      </c>
    </row>
    <row r="17" spans="2:5" ht="32" x14ac:dyDescent="0.2">
      <c r="B17" s="28">
        <v>15</v>
      </c>
      <c r="C17" s="16" t="s">
        <v>320</v>
      </c>
      <c r="D17" s="30" t="s">
        <v>1020</v>
      </c>
      <c r="E17" s="39" t="s">
        <v>1021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EF67D-0179-4053-8371-CD514C04747C}">
  <dimension ref="A3:D14"/>
  <sheetViews>
    <sheetView workbookViewId="0">
      <selection activeCell="C13" sqref="C13"/>
    </sheetView>
  </sheetViews>
  <sheetFormatPr baseColWidth="10" defaultColWidth="8.83203125" defaultRowHeight="15" x14ac:dyDescent="0.2"/>
  <cols>
    <col min="1" max="1" width="26.5" bestFit="1" customWidth="1"/>
    <col min="2" max="3" width="22.33203125" bestFit="1" customWidth="1"/>
    <col min="4" max="4" width="24.6640625" bestFit="1" customWidth="1"/>
    <col min="5" max="5" width="20.83203125" bestFit="1" customWidth="1"/>
    <col min="6" max="6" width="24.1640625" bestFit="1" customWidth="1"/>
    <col min="7" max="7" width="28.5" bestFit="1" customWidth="1"/>
    <col min="8" max="8" width="28.83203125" bestFit="1" customWidth="1"/>
    <col min="9" max="9" width="24" bestFit="1" customWidth="1"/>
    <col min="10" max="10" width="26.5" bestFit="1" customWidth="1"/>
    <col min="11" max="11" width="40.5" bestFit="1" customWidth="1"/>
    <col min="12" max="12" width="14.83203125" bestFit="1" customWidth="1"/>
    <col min="13" max="13" width="21.1640625" bestFit="1" customWidth="1"/>
    <col min="14" max="14" width="23.5" bestFit="1" customWidth="1"/>
    <col min="15" max="15" width="14" bestFit="1" customWidth="1"/>
    <col min="16" max="16" width="32.6640625" bestFit="1" customWidth="1"/>
    <col min="17" max="17" width="43.6640625" bestFit="1" customWidth="1"/>
    <col min="18" max="18" width="32" bestFit="1" customWidth="1"/>
    <col min="19" max="19" width="39.5" bestFit="1" customWidth="1"/>
    <col min="20" max="20" width="10.5" bestFit="1" customWidth="1"/>
    <col min="21" max="21" width="4.5" bestFit="1" customWidth="1"/>
    <col min="22" max="22" width="39.83203125" bestFit="1" customWidth="1"/>
    <col min="23" max="23" width="5.83203125" bestFit="1" customWidth="1"/>
    <col min="24" max="24" width="16.83203125" bestFit="1" customWidth="1"/>
    <col min="25" max="25" width="16.1640625" bestFit="1" customWidth="1"/>
    <col min="26" max="26" width="43.6640625" bestFit="1" customWidth="1"/>
    <col min="27" max="27" width="22.1640625" bestFit="1" customWidth="1"/>
    <col min="28" max="28" width="25.83203125" bestFit="1" customWidth="1"/>
    <col min="29" max="29" width="25.1640625" bestFit="1" customWidth="1"/>
    <col min="30" max="30" width="25.5" bestFit="1" customWidth="1"/>
    <col min="31" max="31" width="36.1640625" bestFit="1" customWidth="1"/>
    <col min="32" max="32" width="53" bestFit="1" customWidth="1"/>
    <col min="33" max="33" width="33.6640625" bestFit="1" customWidth="1"/>
    <col min="34" max="34" width="11.5" bestFit="1" customWidth="1"/>
    <col min="35" max="35" width="8" bestFit="1" customWidth="1"/>
    <col min="36" max="36" width="16.83203125" bestFit="1" customWidth="1"/>
    <col min="37" max="37" width="12.5" bestFit="1" customWidth="1"/>
    <col min="38" max="38" width="6.83203125" bestFit="1" customWidth="1"/>
    <col min="39" max="39" width="10" bestFit="1" customWidth="1"/>
    <col min="40" max="40" width="12.83203125" bestFit="1" customWidth="1"/>
  </cols>
  <sheetData>
    <row r="3" spans="1:4" x14ac:dyDescent="0.2">
      <c r="A3" s="10" t="s">
        <v>697</v>
      </c>
      <c r="B3" t="s">
        <v>1022</v>
      </c>
      <c r="C3" t="s">
        <v>1023</v>
      </c>
      <c r="D3" t="s">
        <v>1024</v>
      </c>
    </row>
    <row r="4" spans="1:4" x14ac:dyDescent="0.2">
      <c r="A4" t="s">
        <v>705</v>
      </c>
      <c r="B4" t="s">
        <v>1025</v>
      </c>
      <c r="C4" t="s">
        <v>1026</v>
      </c>
      <c r="D4" t="s">
        <v>1027</v>
      </c>
    </row>
    <row r="5" spans="1:4" x14ac:dyDescent="0.2">
      <c r="A5" t="s">
        <v>716</v>
      </c>
      <c r="B5" t="s">
        <v>1028</v>
      </c>
      <c r="C5" s="36" t="s">
        <v>1029</v>
      </c>
    </row>
    <row r="6" spans="1:4" x14ac:dyDescent="0.2">
      <c r="A6" t="s">
        <v>723</v>
      </c>
      <c r="C6" s="37">
        <v>8048005423</v>
      </c>
    </row>
    <row r="7" spans="1:4" x14ac:dyDescent="0.2">
      <c r="A7" t="s">
        <v>728</v>
      </c>
    </row>
    <row r="8" spans="1:4" x14ac:dyDescent="0.2">
      <c r="A8" t="s">
        <v>735</v>
      </c>
    </row>
    <row r="9" spans="1:4" x14ac:dyDescent="0.2">
      <c r="A9" t="s">
        <v>742</v>
      </c>
    </row>
    <row r="10" spans="1:4" x14ac:dyDescent="0.2">
      <c r="A10" t="s">
        <v>756</v>
      </c>
    </row>
    <row r="11" spans="1:4" x14ac:dyDescent="0.2">
      <c r="A11" t="s">
        <v>774</v>
      </c>
    </row>
    <row r="12" spans="1:4" x14ac:dyDescent="0.2">
      <c r="A12" t="s">
        <v>783</v>
      </c>
    </row>
    <row r="13" spans="1:4" x14ac:dyDescent="0.2">
      <c r="A13" t="s">
        <v>789</v>
      </c>
    </row>
    <row r="14" spans="1:4" x14ac:dyDescent="0.2">
      <c r="A14" t="s">
        <v>971</v>
      </c>
    </row>
  </sheetData>
  <hyperlinks>
    <hyperlink ref="C5" r:id="rId2" xr:uid="{B267AFC6-1D9C-49C8-A1AE-56ABB76C81F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New Projects</vt:lpstr>
      <vt:lpstr>11-05-26</vt:lpstr>
      <vt:lpstr>EXIM Data</vt:lpstr>
      <vt:lpstr>Sheet2</vt:lpstr>
      <vt:lpstr>summary</vt:lpstr>
      <vt:lpstr>REJECTION LIST</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Dipanka Talukder</dc:creator>
  <cp:keywords/>
  <dc:description/>
  <cp:lastModifiedBy>Amiish Sinha</cp:lastModifiedBy>
  <cp:revision/>
  <dcterms:created xsi:type="dcterms:W3CDTF">2026-04-17T06:08:14Z</dcterms:created>
  <dcterms:modified xsi:type="dcterms:W3CDTF">2026-08-18T05:32:39Z</dcterms:modified>
  <cp:category/>
  <cp:contentStatus/>
</cp:coreProperties>
</file>